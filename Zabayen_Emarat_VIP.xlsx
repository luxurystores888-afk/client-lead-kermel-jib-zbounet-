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de\OneDrive\Desktop\client lead\"/>
    </mc:Choice>
  </mc:AlternateContent>
  <xr:revisionPtr revIDLastSave="0" documentId="8_{66EE2A6F-C3BB-4F22-9387-E093DD8E2E34}" xr6:coauthVersionLast="47" xr6:coauthVersionMax="47" xr10:uidLastSave="{00000000-0000-0000-0000-000000000000}"/>
  <bookViews>
    <workbookView xWindow="-108" yWindow="-108" windowWidth="23256" windowHeight="12456" xr2:uid="{519EE6D0-9688-49C7-8343-FB04F70F0077}"/>
  </bookViews>
  <sheets>
    <sheet name="TEMP_LEADS_TRACKER_1000_UA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</calcChain>
</file>

<file path=xl/sharedStrings.xml><?xml version="1.0" encoding="utf-8"?>
<sst xmlns="http://schemas.openxmlformats.org/spreadsheetml/2006/main" count="7008" uniqueCount="1764">
  <si>
    <t>date</t>
  </si>
  <si>
    <t>lead_name</t>
  </si>
  <si>
    <t>business</t>
  </si>
  <si>
    <t>area</t>
  </si>
  <si>
    <t>phone_or_link</t>
  </si>
  <si>
    <t>channel</t>
  </si>
  <si>
    <t>status</t>
  </si>
  <si>
    <t>next_action</t>
  </si>
  <si>
    <t>next_date</t>
  </si>
  <si>
    <t>notes</t>
  </si>
  <si>
    <t>007 Mobile Phones Est</t>
  </si>
  <si>
    <t>Abu Dhabi</t>
  </si>
  <si>
    <t>WhatsApp</t>
  </si>
  <si>
    <t>NEW</t>
  </si>
  <si>
    <t>Review and send compliant outreach</t>
  </si>
  <si>
    <t>YellowPages UAE profile | landline_or_tollfree | https://www.yellowpages-uae.com/007-mobile-phones-est-163697</t>
  </si>
  <si>
    <t>02 Mobile Phones</t>
  </si>
  <si>
    <t>YellowPages UAE profile | landline_or_tollfree | https://www.yellowpages-uae.com/02-mobile-phones-163691</t>
  </si>
  <si>
    <t>10 Star General Maint LLC</t>
  </si>
  <si>
    <t>YellowPages UAE profile | landline_or_tollfree | https://www.yellowpages-uae.com/10-star-general-maint-llc-140248</t>
  </si>
  <si>
    <t>109 Architecture and Engineering Cunsulting</t>
  </si>
  <si>
    <t>YellowPages UAE profile | landline_or_tollfree | https://www.yellowpages-uae.com/109-architecture-and-engineering-cunsulting-133921</t>
  </si>
  <si>
    <t>18 Degree</t>
  </si>
  <si>
    <t>YellowPages UAE profile | landline_or_tollfree | https://www.yellowpages-uae.com/18-degree-175665</t>
  </si>
  <si>
    <t>19 Media Events and Marketing</t>
  </si>
  <si>
    <t>YellowPages UAE profile | mobile | https://www.yellowpages-uae.com/19-media-events-and-marketing-194736</t>
  </si>
  <si>
    <t>2010 Safety and Protection Consultancy</t>
  </si>
  <si>
    <t>YellowPages UAE profile | landline_or_tollfree | https://www.yellowpages-uae.com/2010-safety-and-protection-consultancy-138100</t>
  </si>
  <si>
    <t>24 Hours Grocery</t>
  </si>
  <si>
    <t>YellowPages UAE profile | landline_or_tollfree | https://www.yellowpages-uae.com/24-hours-grocery-165111</t>
  </si>
  <si>
    <t>360 Facilities Management and Interiors</t>
  </si>
  <si>
    <t>YellowPages UAE profile | landline_or_tollfree | https://www.yellowpages-uae.com/360-facilities-management-and-interiors-193562</t>
  </si>
  <si>
    <t>YellowPages UAE profile | mobile | https://www.yellowpages-uae.com/360-facilities-management-and-interiors-193562</t>
  </si>
  <si>
    <t>360Passenger</t>
  </si>
  <si>
    <t>YellowPages UAE profile | mobile | https://www.yellowpages-uae.com/360passenger-188602</t>
  </si>
  <si>
    <t>3D Arch</t>
  </si>
  <si>
    <t>YellowPages UAE profile | landline_or_tollfree | https://www.yellowpages-uae.com/3d-arch-181669</t>
  </si>
  <si>
    <t>YellowPages UAE profile | mobile | https://www.yellowpages-uae.com/3d-arch-181669</t>
  </si>
  <si>
    <t>3M Gulf Limited</t>
  </si>
  <si>
    <t>YellowPages UAE profile | landline_or_tollfree | https://www.yellowpages-uae.com/3m-gulf-limited-176048</t>
  </si>
  <si>
    <t>4 Style Interiors</t>
  </si>
  <si>
    <t>YellowPages UAE profile | landline_or_tollfree | https://www.yellowpages-uae.com/4-style-interiors-125548</t>
  </si>
  <si>
    <t>49'er Gold Rush - Dana Hotel</t>
  </si>
  <si>
    <t>YellowPages UAE profile | landline_or_tollfree | https://www.yellowpages-uae.com/49-er-gold-rush-dana-hotel-112715</t>
  </si>
  <si>
    <t>YellowPages UAE profile | mobile | https://www.yellowpages-uae.com/49-er-gold-rush-dana-hotel-112715</t>
  </si>
  <si>
    <t>4Cs Diamond</t>
  </si>
  <si>
    <t>YellowPages UAE profile | landline_or_tollfree | https://www.yellowpages-uae.com/4cs-diamond-142598</t>
  </si>
  <si>
    <t>4D Valves And Fitting Trading Llc</t>
  </si>
  <si>
    <t>YellowPages UAE profile | landline_or_tollfree | https://www.yellowpages-uae.com/4d-valves-and-fitting-trading-llc-182494</t>
  </si>
  <si>
    <t>4D Valves and Fittings trading LLC</t>
  </si>
  <si>
    <t>YellowPages UAE profile | landline_or_tollfree | https://www.yellowpages-uae.com/4d-valves-and-fittings-trading-llc-182605</t>
  </si>
  <si>
    <t>YellowPages UAE profile | mobile | https://www.yellowpages-uae.com/4d-valves-and-fittings-trading-llc-182605</t>
  </si>
  <si>
    <t>4th Dimension Interior Design Company LLC</t>
  </si>
  <si>
    <t>YellowPages UAE profile | landline_or_tollfree | https://www.yellowpages-uae.com/4th-dimension-interior-design-company-llc-140355</t>
  </si>
  <si>
    <t>55 &amp; 5th Restaurant</t>
  </si>
  <si>
    <t>YellowPages UAE profile | landline_or_tollfree | https://www.yellowpages-uae.com/55-5th-restaurant-175732</t>
  </si>
  <si>
    <t>55 &amp; 5th The Grill</t>
  </si>
  <si>
    <t>YellowPages UAE profile | landline_or_tollfree | https://www.yellowpages-uae.com/55-5th-the-grill-173563</t>
  </si>
  <si>
    <t>7 Emirates Supermarket</t>
  </si>
  <si>
    <t>YellowPages UAE profile | landline_or_tollfree | https://www.yellowpages-uae.com/7-emirates-supermarket-132603</t>
  </si>
  <si>
    <t>A &amp; O Electromechanical Works</t>
  </si>
  <si>
    <t>YellowPages UAE profile | mobile | https://www.yellowpages-uae.com/a-o-electromechanical-works-194409</t>
  </si>
  <si>
    <t>A A A Silver Eagle International</t>
  </si>
  <si>
    <t>YellowPages UAE profile | landline_or_tollfree | https://www.yellowpages-uae.com/a-a-a-silver-eagle-international-115153</t>
  </si>
  <si>
    <t>A A Brothers</t>
  </si>
  <si>
    <t>YellowPages UAE profile | landline_or_tollfree | https://www.yellowpages-uae.com/a-a-brothers-111467</t>
  </si>
  <si>
    <t>A Al Saeedi Blacksmith and Welding Shop</t>
  </si>
  <si>
    <t>YellowPages UAE profile | landline_or_tollfree | https://www.yellowpages-uae.com/a-al-saeedi-blacksmith-and-welding-shop-126558</t>
  </si>
  <si>
    <t>A and M Gulf Star General Maintenance and Contracting Sole Proprietorship LLC</t>
  </si>
  <si>
    <t>YellowPages UAE profile | mobile | https://www.yellowpages-uae.com/a-and-m-gulf-star-general-maintenance-and-contracting-sole-proprietorship-llc-191482</t>
  </si>
  <si>
    <t>A B C Private School LLC</t>
  </si>
  <si>
    <t>YellowPages UAE profile | landline_or_tollfree | https://www.yellowpages-uae.com/a-b-c-private-school-llc-131871</t>
  </si>
  <si>
    <t>A B S Europe</t>
  </si>
  <si>
    <t>YellowPages UAE profile | landline_or_tollfree | https://www.yellowpages-uae.com/a-b-s-europe-148084</t>
  </si>
  <si>
    <t>A B S Group Consulting Inc</t>
  </si>
  <si>
    <t>YellowPages UAE profile | landline_or_tollfree | https://www.yellowpages-uae.com/a-b-s-group-consulting-inc-108526</t>
  </si>
  <si>
    <t>A G S</t>
  </si>
  <si>
    <t>YellowPages UAE profile | landline_or_tollfree | https://www.yellowpages-uae.com/a-g-s-144767</t>
  </si>
  <si>
    <t>A K M Group Of Companies</t>
  </si>
  <si>
    <t>YellowPages UAE profile | landline_or_tollfree | https://www.yellowpages-uae.com/a-k-m-group-of-companies-163630</t>
  </si>
  <si>
    <t>A K M Music Centre</t>
  </si>
  <si>
    <t>YellowPages UAE profile | landline_or_tollfree | https://www.yellowpages-uae.com/a-k-m-music-centre-111058</t>
  </si>
  <si>
    <t>A K Trailer</t>
  </si>
  <si>
    <t>YellowPages UAE profile | mobile | https://www.yellowpages-uae.com/a-k-trailer-117253</t>
  </si>
  <si>
    <t>A L E (Middle East) LLC</t>
  </si>
  <si>
    <t>YellowPages UAE profile | landline_or_tollfree | https://www.yellowpages-uae.com/a-l-e-middle-east-llc-119354</t>
  </si>
  <si>
    <t>A M M Grocery LLC</t>
  </si>
  <si>
    <t>YellowPages UAE profile | landline_or_tollfree | https://www.yellowpages-uae.com/a-m-m-grocery-llc-165112</t>
  </si>
  <si>
    <t>A M Typing &amp; Photocopy</t>
  </si>
  <si>
    <t>YellowPages UAE profile | landline_or_tollfree | https://www.yellowpages-uae.com/a-m-typing-photocopy-147447</t>
  </si>
  <si>
    <t>A One Technology Fire Safety and Security System LLC</t>
  </si>
  <si>
    <t>YellowPages UAE profile | landline_or_tollfree | https://www.yellowpages-uae.com/a-one-technology-fire-safety-and-security-system-llc-153677</t>
  </si>
  <si>
    <t>YellowPages UAE profile | mobile | https://www.yellowpages-uae.com/a-one-technology-fire-safety-and-security-system-llc-153677</t>
  </si>
  <si>
    <t>A P C C - Al Dafrah Pipeline and Contg Co</t>
  </si>
  <si>
    <t>YellowPages UAE profile | landline_or_tollfree | https://www.yellowpages-uae.com/a-p-c-c-al-dafrah-pipeline-and-contg-co-104962</t>
  </si>
  <si>
    <t>A P G Care Group</t>
  </si>
  <si>
    <t>YellowPages UAE profile | landline_or_tollfree | https://www.yellowpages-uae.com/a-p-g-care-group-150329</t>
  </si>
  <si>
    <t>A Plus Advertising LLC</t>
  </si>
  <si>
    <t>YellowPages UAE profile | landline_or_tollfree | https://www.yellowpages-uae.com/a-plus-advertising-194432</t>
  </si>
  <si>
    <t>YellowPages UAE profile | mobile | https://www.yellowpages-uae.com/a-plus-advertising-194432</t>
  </si>
  <si>
    <t>A R Al Saqqaf Gen Cont Transport</t>
  </si>
  <si>
    <t>YellowPages UAE profile | landline_or_tollfree | https://www.yellowpages-uae.com/a-r-al-saqqaf-gen-cont-transport-148542</t>
  </si>
  <si>
    <t>A to Z Electronics</t>
  </si>
  <si>
    <t>YellowPages UAE profile | mobile | https://www.yellowpages-uae.com/a-to-z-electronics-149113</t>
  </si>
  <si>
    <t>A to Z Hotel &amp; Office Trading Est</t>
  </si>
  <si>
    <t>YellowPages UAE profile | landline_or_tollfree | https://www.yellowpages-uae.com/a-to-z-hotel-office-trading-est-169397</t>
  </si>
  <si>
    <t>A To Z International Accessories</t>
  </si>
  <si>
    <t>YellowPages UAE profile | landline_or_tollfree | https://www.yellowpages-uae.com/a-to-z-international-accessories-154441</t>
  </si>
  <si>
    <t>YellowPages UAE profile | mobile | https://www.yellowpages-uae.com/a-to-z-international-accessories-154441</t>
  </si>
  <si>
    <t>A Touch of Class Design and Decor</t>
  </si>
  <si>
    <t>YellowPages UAE profile | landline_or_tollfree | https://www.yellowpages-uae.com/a-touch-of-class-design-and-decor-123538</t>
  </si>
  <si>
    <t>A W Rostamani Lumina LLC</t>
  </si>
  <si>
    <t>YellowPages UAE profile | landline_or_tollfree | https://www.yellowpages-uae.com/a-w-rostamani-lumina-llc-108522</t>
  </si>
  <si>
    <t>A&amp;M International General Contracting LLC</t>
  </si>
  <si>
    <t>YellowPages UAE profile | landline_or_tollfree | https://www.yellowpages-uae.com/a-m-international-general-contracting-llc-185942</t>
  </si>
  <si>
    <t>A1 Maintenance and Cleaning Services LLC</t>
  </si>
  <si>
    <t>YellowPages UAE profile | mobile | https://www.yellowpages-uae.com/a1-maintenance-and-cleaning-services-llc-187570</t>
  </si>
  <si>
    <t>A2Z Debt Collection</t>
  </si>
  <si>
    <t>YellowPages UAE profile | landline_or_tollfree | https://www.yellowpages-uae.com/a2z-debt-collection-192705</t>
  </si>
  <si>
    <t>YellowPages UAE profile | mobile | https://www.yellowpages-uae.com/a2z-debt-collection-192705</t>
  </si>
  <si>
    <t>AA Handyman &amp; Electrical Maintenance Services</t>
  </si>
  <si>
    <t>YellowPages UAE profile | mobile | https://www.yellowpages-uae.com/aa-handyman-electrical-maintenance-services-169312</t>
  </si>
  <si>
    <t>AAAI - Al Ain Automatic Irrigation Company LLC</t>
  </si>
  <si>
    <t>YellowPages UAE profile | landline_or_tollfree | https://www.yellowpages-uae.com/aaai-al-ain-automatic-irrigation-company-llc-109839</t>
  </si>
  <si>
    <t>YellowPages UAE profile | mobile | https://www.yellowpages-uae.com/aaai-al-ain-automatic-irrigation-company-llc-109839</t>
  </si>
  <si>
    <t>Aabar Properties LLC</t>
  </si>
  <si>
    <t>YellowPages UAE profile | landline_or_tollfree | https://www.yellowpages-uae.com/aabar-properties-llc-172363</t>
  </si>
  <si>
    <t>AAF International Air Filtration Systems LLC</t>
  </si>
  <si>
    <t>YellowPages UAE profile | landline_or_tollfree | https://www.yellowpages-uae.com/aaf-international-air-filtration-systems-llc-169318</t>
  </si>
  <si>
    <t>Aalian Supermarket</t>
  </si>
  <si>
    <t>YellowPages UAE profile | landline_or_tollfree | https://www.yellowpages-uae.com/aalian-supermarket-128227</t>
  </si>
  <si>
    <t>Aaref Grocery</t>
  </si>
  <si>
    <t>YellowPages UAE profile | landline_or_tollfree | https://www.yellowpages-uae.com/aaref-grocery-169374</t>
  </si>
  <si>
    <t>Aariya Health Consultancy LLC</t>
  </si>
  <si>
    <t>YellowPages UAE profile | landline_or_tollfree | https://www.yellowpages-uae.com/aariya-health-consultancy-llc-176920</t>
  </si>
  <si>
    <t>Aarya Properties LLC</t>
  </si>
  <si>
    <t>YellowPages UAE profile | landline_or_tollfree | https://www.yellowpages-uae.com/aarya-properties-llc-172364</t>
  </si>
  <si>
    <t>AB Middle East</t>
  </si>
  <si>
    <t>YellowPages UAE profile | mobile | https://www.yellowpages-uae.com/ab-middle-east-190414</t>
  </si>
  <si>
    <t>AB Tanks Contracting</t>
  </si>
  <si>
    <t>YellowPages UAE profile | landline_or_tollfree | https://www.yellowpages-uae.com/ab-tanks-contracting-181378</t>
  </si>
  <si>
    <t>YellowPages UAE profile | mobile | https://www.yellowpages-uae.com/ab-tanks-contracting-181378</t>
  </si>
  <si>
    <t>Abaad Wood Industries</t>
  </si>
  <si>
    <t>YellowPages UAE profile | landline_or_tollfree | https://www.yellowpages-uae.com/abaad-wood-industries-146448</t>
  </si>
  <si>
    <t>Abacus Scaffolding Installation Works</t>
  </si>
  <si>
    <t>YellowPages UAE profile | landline_or_tollfree | https://www.yellowpages-uae.com/abacus-scaffolding-installation-works-122646</t>
  </si>
  <si>
    <t>Abaya Palace</t>
  </si>
  <si>
    <t>YellowPages UAE profile | landline_or_tollfree | https://www.yellowpages-uae.com/abaya-palace-138193</t>
  </si>
  <si>
    <t>ABB Transmission and Distbn Limited</t>
  </si>
  <si>
    <t>YellowPages UAE profile | landline_or_tollfree | https://www.yellowpages-uae.com/abb-transmission-and-distbn-limited-127210</t>
  </si>
  <si>
    <t>ABB Vetco Gray</t>
  </si>
  <si>
    <t>YellowPages UAE profile | landline_or_tollfree | https://www.yellowpages-uae.com/abb-vetco-gray-128395</t>
  </si>
  <si>
    <t>Abba Electronics LLC</t>
  </si>
  <si>
    <t>YellowPages UAE profile | landline_or_tollfree | https://www.yellowpages-uae.com/abba-electronics-llc-110021</t>
  </si>
  <si>
    <t>Abba Herbal Preparations</t>
  </si>
  <si>
    <t>YellowPages UAE profile | landline_or_tollfree | https://www.yellowpages-uae.com/abba-herbal-preparations-116379</t>
  </si>
  <si>
    <t>Abbas Hussain Mohd Clinic, Dr</t>
  </si>
  <si>
    <t>YellowPages UAE profile | landline_or_tollfree | https://www.yellowpages-uae.com/abbas-hussain-mohd-clinic-dr-111542</t>
  </si>
  <si>
    <t>YellowPages UAE profile | mobile | https://www.yellowpages-uae.com/abbas-hussain-mohd-clinic-dr-111542</t>
  </si>
  <si>
    <t>Abbas Mohammed Hussain Hardware &amp; Tools LLC</t>
  </si>
  <si>
    <t>YellowPages UAE profile | landline_or_tollfree | https://www.yellowpages-uae.com/abbas-mohammed-hussain-hardware-tools-llc-177088</t>
  </si>
  <si>
    <t>YellowPages UAE profile | mobile | https://www.yellowpages-uae.com/abbas-mohammed-hussain-hardware-tools-llc-177088</t>
  </si>
  <si>
    <t>Abc Balloons</t>
  </si>
  <si>
    <t>YellowPages UAE profile | landline_or_tollfree | https://www.yellowpages-uae.com/abc-balloons-182267</t>
  </si>
  <si>
    <t>YellowPages UAE profile | mobile | https://www.yellowpages-uae.com/abc-balloons-182267</t>
  </si>
  <si>
    <t>ABC Computer Gallery</t>
  </si>
  <si>
    <t>YellowPages UAE profile | landline_or_tollfree | https://www.yellowpages-uae.com/abc-computer-gallery-153368</t>
  </si>
  <si>
    <t>YellowPages UAE profile | mobile | https://www.yellowpages-uae.com/abc-computer-gallery-153368</t>
  </si>
  <si>
    <t>ABC Doors and Shutters LLC</t>
  </si>
  <si>
    <t>YellowPages UAE profile | mobile | https://www.yellowpages-uae.com/abc-doors-and-shutters-llc-190778</t>
  </si>
  <si>
    <t>Abdan Grocery</t>
  </si>
  <si>
    <t>YellowPages UAE profile | landline_or_tollfree | https://www.yellowpages-uae.com/abdan-grocery-165113</t>
  </si>
  <si>
    <t>Abdu Supermarket LLC</t>
  </si>
  <si>
    <t>YellowPages UAE profile | landline_or_tollfree | https://www.yellowpages-uae.com/abdu-supermarket-llc-133102</t>
  </si>
  <si>
    <t>Abdul Alem Spare Parts</t>
  </si>
  <si>
    <t>YellowPages UAE profile | landline_or_tollfree | https://www.yellowpages-uae.com/abdul-alem-spare-parts-142459</t>
  </si>
  <si>
    <t>Abdul Aziz Al Ameri Lawyers and Legal Consultants</t>
  </si>
  <si>
    <t>YellowPages UAE profile | landline_or_tollfree | https://www.yellowpages-uae.com/abdul-aziz-al-ameri-lawyers-and-legal-consultants-133458</t>
  </si>
  <si>
    <t>Abdul Aziz Bin Rubaya and Son</t>
  </si>
  <si>
    <t>YellowPages UAE profile | landline_or_tollfree | https://www.yellowpages-uae.com/abdul-aziz-bin-rubaya-and-son-120305</t>
  </si>
  <si>
    <t>Abdul Gafoor Bava Grocery</t>
  </si>
  <si>
    <t>YellowPages UAE profile | landline_or_tollfree | https://www.yellowpages-uae.com/abdul-gafoor-bava-grocery-165114</t>
  </si>
  <si>
    <t>Abdul Hakim Auto Electric</t>
  </si>
  <si>
    <t>YellowPages UAE profile | landline_or_tollfree | https://www.yellowpages-uae.com/abdul-hakim-auto-electric-118923</t>
  </si>
  <si>
    <t>Abdul Haq Mobile Phones</t>
  </si>
  <si>
    <t>YellowPages UAE profile | landline_or_tollfree | https://www.yellowpages-uae.com/abdul-haq-mobile-phones-126739</t>
  </si>
  <si>
    <t>Abdul Haque Turning Workshop</t>
  </si>
  <si>
    <t>YellowPages UAE profile | landline_or_tollfree | https://www.yellowpages-uae.com/abdul-haque-turning-workshop-141844</t>
  </si>
  <si>
    <t>YellowPages UAE profile | mobile | https://www.yellowpages-uae.com/abdul-haque-turning-workshop-141844</t>
  </si>
  <si>
    <t>Abdul Jabar General Contracting</t>
  </si>
  <si>
    <t>YellowPages UAE profile | mobile | https://www.yellowpages-uae.com/abdul-jabar-general-contracting-175374</t>
  </si>
  <si>
    <t>Abdul Jaleel Legal Translation</t>
  </si>
  <si>
    <t>YellowPages UAE profile | landline_or_tollfree | https://www.yellowpages-uae.com/abdul-jaleel-legal-translation-122063</t>
  </si>
  <si>
    <t>Abdul Kader Grocery</t>
  </si>
  <si>
    <t>YellowPages UAE profile | landline_or_tollfree | https://www.yellowpages-uae.com/abdul-kader-grocery-165115</t>
  </si>
  <si>
    <t>Abdul Khair Laundry</t>
  </si>
  <si>
    <t>YellowPages UAE profile | landline_or_tollfree | https://www.yellowpages-uae.com/abdul-khair-laundry-131878</t>
  </si>
  <si>
    <t>Abdul Latif Calligraphy and Drawing</t>
  </si>
  <si>
    <t>YellowPages UAE profile | landline_or_tollfree | https://www.yellowpages-uae.com/abdul-latif-calligraphy-and-drawing-120130</t>
  </si>
  <si>
    <t>Abdul Majeed Al Marzooqi Auditing Office</t>
  </si>
  <si>
    <t>YellowPages UAE profile | landline_or_tollfree | https://www.yellowpages-uae.com/abdul-majeed-al-marzooqi-auditing-office-135786</t>
  </si>
  <si>
    <t>Abdul Majid Foodstuff &amp; Grocery</t>
  </si>
  <si>
    <t>YellowPages UAE profile | landline_or_tollfree | https://www.yellowpages-uae.com/abdul-majid-foodstuff-grocery-165116</t>
  </si>
  <si>
    <t>Abdul Monem Al Rashed Building Matl Trading</t>
  </si>
  <si>
    <t>YellowPages UAE profile | landline_or_tollfree | https://www.yellowpages-uae.com/abdul-monem-al-rashed-building-matl-trading-140011</t>
  </si>
  <si>
    <t>Abdul Moula Grocery</t>
  </si>
  <si>
    <t>YellowPages UAE profile | landline_or_tollfree | https://www.yellowpages-uae.com/abdul-moula-grocery-165117</t>
  </si>
  <si>
    <t>Abdul Qadeer Elec and A/C Rep</t>
  </si>
  <si>
    <t>YellowPages UAE profile | landline_or_tollfree | https://www.yellowpages-uae.com/abdul-qadeer-elec-and-a-c-rep-136188</t>
  </si>
  <si>
    <t>Abdul Rahaman Al Hamed Trading Establishment</t>
  </si>
  <si>
    <t>YellowPages UAE profile | landline_or_tollfree | https://www.yellowpages-uae.com/abdul-rahaman-al-hamed-trading-establishment-142014</t>
  </si>
  <si>
    <t>Abdul Rahim Trading Establishment</t>
  </si>
  <si>
    <t>YellowPages UAE profile | landline_or_tollfree | https://www.yellowpages-uae.com/abdul-rahim-trading-establishment-123166</t>
  </si>
  <si>
    <t>YellowPages UAE profile | mobile | https://www.yellowpages-uae.com/abdul-rahim-trading-establishment-123166</t>
  </si>
  <si>
    <t>Abdul Rahman Kassim LLC</t>
  </si>
  <si>
    <t>YellowPages UAE profile | landline_or_tollfree | https://www.yellowpages-uae.com/abdul-rahman-kassim-llc-118675</t>
  </si>
  <si>
    <t>Abdul Rasheed Electronics Trading</t>
  </si>
  <si>
    <t>YellowPages UAE profile | landline_or_tollfree | https://www.yellowpages-uae.com/abdul-rasheed-electronics-trading-150326</t>
  </si>
  <si>
    <t>Abdul Razaq Mohm. Manual Carpentry</t>
  </si>
  <si>
    <t>YellowPages UAE profile | landline_or_tollfree | https://www.yellowpages-uae.com/abdul-razaq-mohm-manual-carpentry-150687</t>
  </si>
  <si>
    <t>Abdul Rehman Ghulam Building Equipment Rentals LLC</t>
  </si>
  <si>
    <t>YellowPages UAE profile | landline_or_tollfree | https://www.yellowpages-uae.com/abdul-rehman-ghulam-building-equipment-rentals-llc-191668</t>
  </si>
  <si>
    <t>YellowPages UAE profile | mobile | https://www.yellowpages-uae.com/abdul-rehman-ghulam-building-equipment-rentals-llc-191668</t>
  </si>
  <si>
    <t>Abdul Rouf Muhammad Elect</t>
  </si>
  <si>
    <t>YellowPages UAE profile | landline_or_tollfree | https://www.yellowpages-uae.com/abdul-rouf-muhammad-elect-145392</t>
  </si>
  <si>
    <t>Future Star Super Market LLC</t>
  </si>
  <si>
    <t>YellowPages UAE profile | landline_or_tollfree | https://www.yellowpages-uae.com/abdul-majeed-bicycle-139221</t>
  </si>
  <si>
    <t>2000 General Trading</t>
  </si>
  <si>
    <t>Ajman</t>
  </si>
  <si>
    <t>YellowPages UAE profile | landline_or_tollfree | https://www.yellowpages-uae.com/2000-general-trading-135611</t>
  </si>
  <si>
    <t>2000 Pharmacy</t>
  </si>
  <si>
    <t>YellowPages UAE profile | landline_or_tollfree | https://www.yellowpages-uae.com/2000-pharmacy-170972</t>
  </si>
  <si>
    <t>24/7 Battery</t>
  </si>
  <si>
    <t>YellowPages UAE profile | mobile | https://www.yellowpages-uae.com/24-7-battery-171224</t>
  </si>
  <si>
    <t>247 Steel Company</t>
  </si>
  <si>
    <t>YellowPages UAE profile | mobile | https://www.yellowpages-uae.com/247-steel-company-185744</t>
  </si>
  <si>
    <t>YellowPages UAE profile | landline_or_tollfree | https://www.yellowpages-uae.com/247-steel-company-185744</t>
  </si>
  <si>
    <t>4 Star Garments Workshop</t>
  </si>
  <si>
    <t>YellowPages UAE profile | mobile | https://www.yellowpages-uae.com/4-star-garments-workshop-157484</t>
  </si>
  <si>
    <t>A and P Group, The</t>
  </si>
  <si>
    <t>YellowPages UAE profile | landline_or_tollfree | https://www.yellowpages-uae.com/a-and-p-group-the-111925</t>
  </si>
  <si>
    <t>A J Design Consultants</t>
  </si>
  <si>
    <t>YellowPages UAE profile | landline_or_tollfree | https://www.yellowpages-uae.com/a-j-design-consultants-150303</t>
  </si>
  <si>
    <t>A J Security And Safety Consultancies</t>
  </si>
  <si>
    <t>YellowPages UAE profile | landline_or_tollfree | https://www.yellowpages-uae.com/a-j-security-and-safety-consultancies-169368</t>
  </si>
  <si>
    <t>A Kazemi General Trading Co</t>
  </si>
  <si>
    <t>YellowPages UAE profile | landline_or_tollfree | https://www.yellowpages-uae.com/a-kazemi-general-trading-co-137009</t>
  </si>
  <si>
    <t>A M A Perfumes Manufacturing LLC</t>
  </si>
  <si>
    <t>YellowPages UAE profile | landline_or_tollfree | https://www.yellowpages-uae.com/a-m-a-perfumes-manufacturing-llc-109244</t>
  </si>
  <si>
    <t>A M Beauty Life</t>
  </si>
  <si>
    <t>YellowPages UAE profile | mobile | https://www.yellowpages-uae.com/a-m-beauty-life-169995</t>
  </si>
  <si>
    <t>A M Bldg Mat Trdg</t>
  </si>
  <si>
    <t>YellowPages UAE profile | landline_or_tollfree | https://www.yellowpages-uae.com/a-m-bldg-mat-trdg-117583</t>
  </si>
  <si>
    <t>A Nakhlah Real Estate Invest Center</t>
  </si>
  <si>
    <t>YellowPages UAE profile | landline_or_tollfree | https://www.yellowpages-uae.com/a-nakhlah-real-estate-invest-center-173244</t>
  </si>
  <si>
    <t>A R International General Trading</t>
  </si>
  <si>
    <t>YellowPages UAE profile | landline_or_tollfree | https://www.yellowpages-uae.com/a-r-international-general-trading-128383</t>
  </si>
  <si>
    <t>A To Z Home Appliances Trading LLC</t>
  </si>
  <si>
    <t>YellowPages UAE profile | landline_or_tollfree | https://www.yellowpages-uae.com/a-to-z-home-appliances-trading-llc-169383</t>
  </si>
  <si>
    <t>A to Z Studio</t>
  </si>
  <si>
    <t>YellowPages UAE profile | landline_or_tollfree | https://www.yellowpages-uae.com/a-to-z-studio-169348</t>
  </si>
  <si>
    <t>A to Z Typing Center</t>
  </si>
  <si>
    <t>YellowPages UAE profile | landline_or_tollfree | https://www.yellowpages-uae.com/a-to-z-typing-center-169382</t>
  </si>
  <si>
    <t>A V M Readymade Garments Trading</t>
  </si>
  <si>
    <t>YellowPages UAE profile | mobile | https://www.yellowpages-uae.com/a-v-m-readymade-garments-trading-143881</t>
  </si>
  <si>
    <t>A'Diwan Real Estate Investment Co</t>
  </si>
  <si>
    <t>YellowPages UAE profile | landline_or_tollfree | https://www.yellowpages-uae.com/a-diwan-real-estate-investment-co-134333</t>
  </si>
  <si>
    <t>AA Car Washing and Accessories</t>
  </si>
  <si>
    <t>YellowPages UAE profile | mobile | https://www.yellowpages-uae.com/aa-car-washing-and-accessories-190643</t>
  </si>
  <si>
    <t>YellowPages UAE profile | landline_or_tollfree | https://www.yellowpages-uae.com/aa-car-washing-and-accessories-190643</t>
  </si>
  <si>
    <t>Aaban Building Cleaning And Pest Control Service</t>
  </si>
  <si>
    <t>YellowPages UAE profile | mobile | https://www.yellowpages-uae.com/aaban-building-cleaning-and-pest-control-service-182576</t>
  </si>
  <si>
    <t>Aahad Car Recovery Services</t>
  </si>
  <si>
    <t>YellowPages UAE profile | mobile | https://www.yellowpages-uae.com/aahad-car-recovery-services-176597</t>
  </si>
  <si>
    <t>Aaliya Medical Centre</t>
  </si>
  <si>
    <t>YellowPages UAE profile | landline_or_tollfree | https://www.yellowpages-uae.com/aaliya-medical-centre-143886</t>
  </si>
  <si>
    <t>Aamir Car Recovery</t>
  </si>
  <si>
    <t>YellowPages UAE profile | mobile | https://www.yellowpages-uae.com/aamir-car-recovery-178483</t>
  </si>
  <si>
    <t>Aamraa Building Materials Trading LLC</t>
  </si>
  <si>
    <t>YellowPages UAE profile | mobile | https://www.yellowpages-uae.com/aamraa-building-materials-trading-llc-188927</t>
  </si>
  <si>
    <t>Aara Stationery</t>
  </si>
  <si>
    <t>YellowPages UAE profile | landline_or_tollfree | https://www.yellowpages-uae.com/aara-stationery-169365</t>
  </si>
  <si>
    <t>Aaron International FZE</t>
  </si>
  <si>
    <t>YellowPages UAE profile | mobile | https://www.yellowpages-uae.com/aaron-international-fze-168923</t>
  </si>
  <si>
    <t>YellowPages UAE profile | landline_or_tollfree | https://www.yellowpages-uae.com/aaron-international-fze-168923</t>
  </si>
  <si>
    <t>Aarson Garments &amp; Textiles Trading</t>
  </si>
  <si>
    <t>YellowPages UAE profile | landline_or_tollfree | https://www.yellowpages-uae.com/aarson-garments-textiles-trading-169370</t>
  </si>
  <si>
    <t>Aasa Cargo</t>
  </si>
  <si>
    <t>YellowPages UAE profile | landline_or_tollfree | https://www.yellowpages-uae.com/aasa-cargo-169361</t>
  </si>
  <si>
    <t>AASH Rubber Industries LLC</t>
  </si>
  <si>
    <t>YellowPages UAE profile | mobile | https://www.yellowpages-uae.com/aash-rubber-industries-llc-192975</t>
  </si>
  <si>
    <t>YellowPages UAE profile | landline_or_tollfree | https://www.yellowpages-uae.com/aash-rubber-industries-llc-192975</t>
  </si>
  <si>
    <t>Aatif Ali Building Materials Trading LLC</t>
  </si>
  <si>
    <t>YellowPages UAE profile | mobile | https://www.yellowpages-uae.com/aatif-ali-building-materials-trading-llc-195263</t>
  </si>
  <si>
    <t>YellowPages UAE profile | landline_or_tollfree | https://www.yellowpages-uae.com/aatif-ali-building-materials-trading-llc-195263</t>
  </si>
  <si>
    <t>Aatish General Trading FZE</t>
  </si>
  <si>
    <t>YellowPages UAE profile | mobile | https://www.yellowpages-uae.com/aatish-general-trading-fze-176080</t>
  </si>
  <si>
    <t>YellowPages UAE profile | landline_or_tollfree | https://www.yellowpages-uae.com/aatish-general-trading-fze-176080</t>
  </si>
  <si>
    <t>Abalone Fish Processing LLC</t>
  </si>
  <si>
    <t>YellowPages UAE profile | landline_or_tollfree | https://www.yellowpages-uae.com/abalone-fish-processing-llc-169387</t>
  </si>
  <si>
    <t>Abdul Ahmed Real Estate Office</t>
  </si>
  <si>
    <t>YellowPages UAE profile | landline_or_tollfree | https://www.yellowpages-uae.com/abdul-ahmed-real-estate-office-172400</t>
  </si>
  <si>
    <t>Abdul Azeem Aluminium and Glass Works</t>
  </si>
  <si>
    <t>YellowPages UAE profile | landline_or_tollfree | https://www.yellowpages-uae.com/abdul-azeem-aluminium-and-glass-works-145905</t>
  </si>
  <si>
    <t>Abdul Aziz Elec Trading and Cont LLC</t>
  </si>
  <si>
    <t>YellowPages UAE profile | landline_or_tollfree | https://www.yellowpages-uae.com/abdul-aziz-elec-trading-and-cont-llc-121865</t>
  </si>
  <si>
    <t>Abdul Aziz Medical Center</t>
  </si>
  <si>
    <t>YellowPages UAE profile | mobile | https://www.yellowpages-uae.com/abdul-aziz-medical-center-177111</t>
  </si>
  <si>
    <t>YellowPages UAE profile | landline_or_tollfree | https://www.yellowpages-uae.com/abdul-aziz-medical-center-177111</t>
  </si>
  <si>
    <t>Abdul Basit Elect and Sanitary Tools Trading</t>
  </si>
  <si>
    <t>YellowPages UAE profile | landline_or_tollfree | https://www.yellowpages-uae.com/abdul-basit-elect-and-sanitary-tools-trading-139327</t>
  </si>
  <si>
    <t>Abdul Gafoor Carpentry</t>
  </si>
  <si>
    <t>YellowPages UAE profile | mobile | https://www.yellowpages-uae.com/abdul-gafoor-carpentry-180574</t>
  </si>
  <si>
    <t>Abdul Hadi Steel &amp; Aluminum Co. LLC</t>
  </si>
  <si>
    <t>YellowPages UAE profile | mobile | https://www.yellowpages-uae.com/abdul-hadi-steel-aluminum-co-llc-136292</t>
  </si>
  <si>
    <t>YellowPages UAE profile | landline_or_tollfree | https://www.yellowpages-uae.com/abdul-hadi-steel-aluminum-co-llc-136292</t>
  </si>
  <si>
    <t>Abdul Jalil Steel Workshop</t>
  </si>
  <si>
    <t>YellowPages UAE profile | mobile | https://www.yellowpages-uae.com/abdul-jalil-steel-workshop-146123</t>
  </si>
  <si>
    <t>YellowPages UAE profile | landline_or_tollfree | https://www.yellowpages-uae.com/abdul-jalil-steel-workshop-146123</t>
  </si>
  <si>
    <t>Abdul Naser Building Material Trading</t>
  </si>
  <si>
    <t>YellowPages UAE profile | landline_or_tollfree | https://www.yellowpages-uae.com/abdul-naser-building-material-trading-126823</t>
  </si>
  <si>
    <t>Abdul Nasser Building Materials Trading</t>
  </si>
  <si>
    <t>YellowPages UAE profile | landline_or_tollfree | https://www.yellowpages-uae.com/abdul-nasser-building-materials-trading-169384</t>
  </si>
  <si>
    <t>Abdul Razzaq Mohiddin Abdulla Trading Establishment</t>
  </si>
  <si>
    <t>YellowPages UAE profile | landline_or_tollfree | https://www.yellowpages-uae.com/abdul-razzaq-mohiddin-abdulla-trading-establishment-181957</t>
  </si>
  <si>
    <t>D S S Steel LLC</t>
  </si>
  <si>
    <t>YellowPages UAE profile | landline_or_tollfree | https://www.yellowpages-uae.com/a-n-a-steel-trading-llc-127610</t>
  </si>
  <si>
    <t>515 Mobile Phone</t>
  </si>
  <si>
    <t>Al Ain</t>
  </si>
  <si>
    <t>YellowPages UAE profile | landline_or_tollfree | https://www.yellowpages-uae.com/515-mobile-phone-126657</t>
  </si>
  <si>
    <t>A A Bin Hraiz Indl Supplies Establishment</t>
  </si>
  <si>
    <t>YellowPages UAE profile | landline_or_tollfree | https://www.yellowpages-uae.com/a-a-bin-hraiz-indl-supplies-establishment-130609</t>
  </si>
  <si>
    <t>A Abir Ceramic Trading Establishment</t>
  </si>
  <si>
    <t>YellowPages UAE profile | landline_or_tollfree | https://www.yellowpages-uae.com/a-abir-ceramic-trading-establishment-143773</t>
  </si>
  <si>
    <t>YellowPages UAE profile | landline_or_tollfree | https://www.yellowpages-uae.com/aaai-al-ain-automatic-irrigation-company-llc-109840</t>
  </si>
  <si>
    <t>Abar Al Jazeera Al Arabia LLC</t>
  </si>
  <si>
    <t>YellowPages UAE profile | landline_or_tollfree | https://www.yellowpages-uae.com/abar-al-jazeera-al-arabia-llc-169386</t>
  </si>
  <si>
    <t>Abdul Aziz Mohd Al Suwaidi Transport Establishment</t>
  </si>
  <si>
    <t>YellowPages UAE profile | landline_or_tollfree | https://www.yellowpages-uae.com/abdul-aziz-mohd-al-suwaidi-transport-establishment-105278</t>
  </si>
  <si>
    <t>Abdul Aziz Restaurant</t>
  </si>
  <si>
    <t>YellowPages UAE profile | landline_or_tollfree | https://www.yellowpages-uae.com/abdul-aziz-restaurant-131916</t>
  </si>
  <si>
    <t>YellowPages UAE profile | landline_or_tollfree | https://www.yellowpages-uae.com/abdul-aziz-restaurant-173505</t>
  </si>
  <si>
    <t>YellowPages UAE profile | landline_or_tollfree | https://www.yellowpages-uae.com/abdul-aziz-restaurant-173506</t>
  </si>
  <si>
    <t>Abdul Kareem Grocery</t>
  </si>
  <si>
    <t>YellowPages UAE profile | landline_or_tollfree | https://www.yellowpages-uae.com/abdul-kareem-grocery-165656</t>
  </si>
  <si>
    <t>Abdul Majeed Electronic Stores</t>
  </si>
  <si>
    <t>YellowPages UAE profile | landline_or_tollfree | https://www.yellowpages-uae.com/abdul-majeed-electronic-stores-134487</t>
  </si>
  <si>
    <t>Abdul Rahim Abdul Aziz Oil Change and Tyre Rep</t>
  </si>
  <si>
    <t>YellowPages UAE profile | landline_or_tollfree | https://www.yellowpages-uae.com/abdul-rahim-abdul-aziz-oil-change-and-tyre-rep-132834</t>
  </si>
  <si>
    <t>Omar Hamadeh for Auditing &amp; Accounting</t>
  </si>
  <si>
    <t>YellowPages UAE profile | landline_or_tollfree | https://www.yellowpages-uae.com/abdul-majid-hamadeh-and-co-104438</t>
  </si>
  <si>
    <t>Abdul Aziz Textiles and Readymade Garments</t>
  </si>
  <si>
    <t>Dibba</t>
  </si>
  <si>
    <t>YellowPages UAE profile | landline_or_tollfree | https://www.yellowpages-uae.com/abdul-aziz-textiles-and-readymade-garments-21855</t>
  </si>
  <si>
    <t>1 Dirham Home Insulation</t>
  </si>
  <si>
    <t>Dubai</t>
  </si>
  <si>
    <t>YellowPages UAE profile | landline_or_tollfree | https://www.yellowpages-uae.com/1-dirham-home-insulation-183247</t>
  </si>
  <si>
    <t>YellowPages UAE profile | mobile | https://www.yellowpages-uae.com/1-dirham-home-insulation-183247</t>
  </si>
  <si>
    <t>1 Step Properties</t>
  </si>
  <si>
    <t>YellowPages UAE profile | landline_or_tollfree | https://www.yellowpages-uae.com/1-step-properties-172346</t>
  </si>
  <si>
    <t>1 X 1 Art Gallery</t>
  </si>
  <si>
    <t>YellowPages UAE profile | landline_or_tollfree | https://www.yellowpages-uae.com/1-x-1-art-gallery-162550</t>
  </si>
  <si>
    <t>1001 Events FZ LLC</t>
  </si>
  <si>
    <t>YellowPages UAE profile | landline_or_tollfree | https://www.yellowpages-uae.com/1001-events-fz-llc-149497</t>
  </si>
  <si>
    <t>1001 Events Tourism LLC</t>
  </si>
  <si>
    <t>YellowPages UAE profile | landline_or_tollfree | https://www.yellowpages-uae.com/1001-events-tourism-llc-128294</t>
  </si>
  <si>
    <t>1004 MART L.L.C</t>
  </si>
  <si>
    <t>YellowPages UAE profile | landline_or_tollfree | https://www.yellowpages-uae.com/1004-mart-l-l-c-165680</t>
  </si>
  <si>
    <t>101 Dining Lounge and Bar</t>
  </si>
  <si>
    <t>YellowPages UAE profile | landline_or_tollfree | https://www.yellowpages-uae.com/101-dining-lounge-and-bar-152437</t>
  </si>
  <si>
    <t>101 Parathas</t>
  </si>
  <si>
    <t>YellowPages UAE profile | landline_or_tollfree | https://www.yellowpages-uae.com/101-parathas-184891</t>
  </si>
  <si>
    <t>YellowPages UAE profile | landline_or_tollfree | https://www.yellowpages-uae.com/101-parathas-174758</t>
  </si>
  <si>
    <t>YellowPages UAE profile | mobile | https://www.yellowpages-uae.com/101-parathas-174758</t>
  </si>
  <si>
    <t>YellowPages UAE profile | mobile | https://www.yellowpages-uae.com/101-parathas-184891</t>
  </si>
  <si>
    <t>10X Curtains</t>
  </si>
  <si>
    <t>YellowPages UAE profile | mobile | https://www.yellowpages-uae.com/10x-curtains-195393</t>
  </si>
  <si>
    <t>11 11 Events</t>
  </si>
  <si>
    <t>YellowPages UAE profile | landline_or_tollfree | https://www.yellowpages-uae.com/11-11-events-190882</t>
  </si>
  <si>
    <t>YellowPages UAE profile | mobile | https://www.yellowpages-uae.com/11-11-events-190882</t>
  </si>
  <si>
    <t>111 Motors</t>
  </si>
  <si>
    <t>YellowPages UAE profile | landline_or_tollfree | https://www.yellowpages-uae.com/111-motors-148128</t>
  </si>
  <si>
    <t>123 Cargo</t>
  </si>
  <si>
    <t>YellowPages UAE profile | landline_or_tollfree | https://www.yellowpages-uae.com/123-cargo-156347</t>
  </si>
  <si>
    <t>123 Cargo LLC</t>
  </si>
  <si>
    <t>YellowPages UAE profile | landline_or_tollfree | https://www.yellowpages-uae.com/123-cargo-llc-170092</t>
  </si>
  <si>
    <t>14 Star Technical Services LLC</t>
  </si>
  <si>
    <t>YellowPages UAE profile | landline_or_tollfree | https://www.yellowpages-uae.com/14-star-technical-services-llc-170095</t>
  </si>
  <si>
    <t>YellowPages UAE profile | landline_or_tollfree | https://www.yellowpages-uae.com/1762-152180</t>
  </si>
  <si>
    <t>18 BRICKS</t>
  </si>
  <si>
    <t>YellowPages UAE profile | landline_or_tollfree | https://www.yellowpages-uae.com/18-bricks-183944</t>
  </si>
  <si>
    <t>YellowPages UAE profile | mobile | https://www.yellowpages-uae.com/18-bricks-183944</t>
  </si>
  <si>
    <t>18 Buffet</t>
  </si>
  <si>
    <t>YellowPages UAE profile | landline_or_tollfree | https://www.yellowpages-uae.com/18-buffet-147330</t>
  </si>
  <si>
    <t>180 Technologies LLC</t>
  </si>
  <si>
    <t>YellowPages UAE profile | landline_or_tollfree | https://www.yellowpages-uae.com/180-technologies-llc-170096</t>
  </si>
  <si>
    <t>YellowPages UAE profile | mobile | https://www.yellowpages-uae.com/180-technologies-llc-170096</t>
  </si>
  <si>
    <t>2 Way Tourism</t>
  </si>
  <si>
    <t>YellowPages UAE profile | mobile | https://www.yellowpages-uae.com/2-way-tourism-162831</t>
  </si>
  <si>
    <t>2000 Screen Electronics LLC</t>
  </si>
  <si>
    <t>YellowPages UAE profile | landline_or_tollfree | https://www.yellowpages-uae.com/2000-screen-electronics-llc-119692</t>
  </si>
  <si>
    <t>2003 Aluminium Works and Carpentry LLC</t>
  </si>
  <si>
    <t>YellowPages UAE profile | mobile | https://www.yellowpages-uae.com/2003-aluminium-works-and-carpentry-llc-132622</t>
  </si>
  <si>
    <t>21 Century Passengers Transport LLC</t>
  </si>
  <si>
    <t>YellowPages UAE profile | landline_or_tollfree | https://www.yellowpages-uae.com/21-century-passengers-transport-llc-179061</t>
  </si>
  <si>
    <t>YellowPages UAE profile | mobile | https://www.yellowpages-uae.com/21-century-passengers-transport-llc-179061</t>
  </si>
  <si>
    <t>21 Grams Urban Balkan Bistro</t>
  </si>
  <si>
    <t>YellowPages UAE profile | landline_or_tollfree | https://www.yellowpages-uae.com/21-grams-urban-balkan-bistro-174119</t>
  </si>
  <si>
    <t>21st Century Properties</t>
  </si>
  <si>
    <t>YellowPages UAE profile | landline_or_tollfree | https://www.yellowpages-uae.com/21st-century-properties-172347</t>
  </si>
  <si>
    <t>22 Movers</t>
  </si>
  <si>
    <t>YellowPages UAE profile | mobile | https://www.yellowpages-uae.com/22-movers-172984</t>
  </si>
  <si>
    <t>24 A Plus Consultants FZE</t>
  </si>
  <si>
    <t>YellowPages UAE profile | landline_or_tollfree | https://www.yellowpages-uae.com/24-a-plus-consultants-fze-169974</t>
  </si>
  <si>
    <t>24 Group FZ LLC</t>
  </si>
  <si>
    <t>YellowPages UAE profile | landline_or_tollfree | https://www.yellowpages-uae.com/24-group-fz-llc-133669</t>
  </si>
  <si>
    <t>24 Hour Batteries Services</t>
  </si>
  <si>
    <t>YellowPages UAE profile | mobile | https://www.yellowpages-uae.com/24-hour-batteries-services-192163</t>
  </si>
  <si>
    <t>YellowPages UAE profile | landline_or_tollfree | https://www.yellowpages-uae.com/24-hour-batteries-services-192163</t>
  </si>
  <si>
    <t>24 Seven Real Estate Brokers</t>
  </si>
  <si>
    <t>YellowPages UAE profile | landline_or_tollfree | https://www.yellowpages-uae.com/24-seven-real-estate-brokers-172348</t>
  </si>
  <si>
    <t>24/7 Group</t>
  </si>
  <si>
    <t>YellowPages UAE profile | landline_or_tollfree | https://www.yellowpages-uae.com/24-7-group-170097</t>
  </si>
  <si>
    <t>24h.ae Online Food Delivery Services</t>
  </si>
  <si>
    <t>YellowPages UAE profile | landline_or_tollfree | https://www.yellowpages-uae.com/24h-ae-online-food-delivery-services-148551</t>
  </si>
  <si>
    <t>24Seven Home Care LLC</t>
  </si>
  <si>
    <t>YellowPages UAE profile | landline_or_tollfree | https://www.yellowpages-uae.com/24seven-home-care-llc-188442</t>
  </si>
  <si>
    <t>YellowPages UAE profile | mobile | https://www.yellowpages-uae.com/24seven-home-care-llc-188442</t>
  </si>
  <si>
    <t>25 Degree North Businessmen Services</t>
  </si>
  <si>
    <t>YellowPages UAE profile | landline_or_tollfree | https://www.yellowpages-uae.com/25-degree-north-businessmen-services-160819</t>
  </si>
  <si>
    <t>25 Degrees North</t>
  </si>
  <si>
    <t>YellowPages UAE profile | landline_or_tollfree | https://www.yellowpages-uae.com/25-degrees-north-152134</t>
  </si>
  <si>
    <t>2A IT Services DMCC</t>
  </si>
  <si>
    <t>YellowPages UAE profile | landline_or_tollfree | https://www.yellowpages-uae.com/2a-it-services-dmcc-163002</t>
  </si>
  <si>
    <t>3 B United Advertising LLC</t>
  </si>
  <si>
    <t>YellowPages UAE profile | landline_or_tollfree | https://www.yellowpages-uae.com/3-b-united-advertising-llc-118480</t>
  </si>
  <si>
    <t>3 Fils</t>
  </si>
  <si>
    <t>YellowPages UAE profile | mobile | https://www.yellowpages-uae.com/3-fils-174471</t>
  </si>
  <si>
    <t>3 G Electronics Gen Trdg LLC</t>
  </si>
  <si>
    <t>YellowPages UAE profile | landline_or_tollfree | https://www.yellowpages-uae.com/3-g-electronics-gen-trdg-llc-144752</t>
  </si>
  <si>
    <t>3 S Group</t>
  </si>
  <si>
    <t>YellowPages UAE profile | landline_or_tollfree | https://www.yellowpages-uae.com/3-s-group-152119</t>
  </si>
  <si>
    <t>311 Entertainment</t>
  </si>
  <si>
    <t>YellowPages UAE profile | landline_or_tollfree | https://www.yellowpages-uae.com/311-entertainment-168855</t>
  </si>
  <si>
    <t>32 Care Green Pharmacy LLC</t>
  </si>
  <si>
    <t>YellowPages UAE profile | landline_or_tollfree | https://www.yellowpages-uae.com/32-care-green-pharmacy-llc-170973</t>
  </si>
  <si>
    <t>32 Care Pharmacy LLC</t>
  </si>
  <si>
    <t>YellowPages UAE profile | landline_or_tollfree | https://www.yellowpages-uae.com/32-care-pharmacy-llc-170974</t>
  </si>
  <si>
    <t>32 Care White Pharmacy</t>
  </si>
  <si>
    <t>YellowPages UAE profile | landline_or_tollfree | https://www.yellowpages-uae.com/32-care-white-pharmacy-170975</t>
  </si>
  <si>
    <t>32 Marina Street Kitchen</t>
  </si>
  <si>
    <t>YellowPages UAE profile | landline_or_tollfree | https://www.yellowpages-uae.com/32-marina-street-kitchen-152001</t>
  </si>
  <si>
    <t>360 Business Solutions</t>
  </si>
  <si>
    <t>YellowPages UAE profile | mobile | https://www.yellowpages-uae.com/360-business-solutions-180015</t>
  </si>
  <si>
    <t>360 Degree Jumeirah Beach Hotel</t>
  </si>
  <si>
    <t>YellowPages UAE profile | landline_or_tollfree | https://www.yellowpages-uae.com/360-degree-jumeirah-beach-hotel-173870</t>
  </si>
  <si>
    <t>360 INC</t>
  </si>
  <si>
    <t>YellowPages UAE profile | landline_or_tollfree | https://www.yellowpages-uae.com/360-inc-173494</t>
  </si>
  <si>
    <t>YellowPages UAE profile | mobile | https://www.yellowpages-uae.com/360-inc-173494</t>
  </si>
  <si>
    <t>360 Wellness</t>
  </si>
  <si>
    <t>YellowPages UAE profile | landline_or_tollfree | https://www.yellowpages-uae.com/360-wellness-141786</t>
  </si>
  <si>
    <t>YellowPages UAE profile | mobile | https://www.yellowpages-uae.com/360-wellness-141786</t>
  </si>
  <si>
    <t>365 Restaurant</t>
  </si>
  <si>
    <t>YellowPages UAE profile | landline_or_tollfree | https://www.yellowpages-uae.com/365-restaurant-174091</t>
  </si>
  <si>
    <t>YellowPages UAE profile | landline_or_tollfree | https://www.yellowpages-uae.com/365-restaurant-174093</t>
  </si>
  <si>
    <t>YellowPages UAE profile | landline_or_tollfree | https://www.yellowpages-uae.com/365-restaurant-174092</t>
  </si>
  <si>
    <t>369 Pest Control and Disinfection Services LLC</t>
  </si>
  <si>
    <t>YellowPages UAE profile | mobile | https://www.yellowpages-uae.com/369-pest-control-and-disinfection-services-194402</t>
  </si>
  <si>
    <t>3D Constraction LLC</t>
  </si>
  <si>
    <t>YellowPages UAE profile | landline_or_tollfree | https://www.yellowpages-uae.com/3d-constraction-llc-176808</t>
  </si>
  <si>
    <t>YellowPages UAE profile | mobile | https://www.yellowpages-uae.com/3d-constraction-llc-176808</t>
  </si>
  <si>
    <t>3D Manzil</t>
  </si>
  <si>
    <t>YellowPages UAE profile | mobile | https://www.yellowpages-uae.com/3d-manzil-181810</t>
  </si>
  <si>
    <t>3D Me Photo Solutions</t>
  </si>
  <si>
    <t>YellowPages UAE profile | landline_or_tollfree | https://www.yellowpages-uae.com/3d-me-photo-solutions-152796</t>
  </si>
  <si>
    <t>3Dimension Contracting And Decor</t>
  </si>
  <si>
    <t>YellowPages UAE profile | landline_or_tollfree | https://www.yellowpages-uae.com/3dimension-contracting-and-decor-183246</t>
  </si>
  <si>
    <t>YellowPages UAE profile | mobile | https://www.yellowpages-uae.com/3dimension-contracting-and-decor-183246</t>
  </si>
  <si>
    <t>3Fold Training</t>
  </si>
  <si>
    <t>YellowPages UAE profile | landline_or_tollfree | https://www.yellowpages-uae.com/3fold-training-160263</t>
  </si>
  <si>
    <t>YellowPages UAE profile | mobile | https://www.yellowpages-uae.com/3fold-training-160263</t>
  </si>
  <si>
    <t>3G Real Estate</t>
  </si>
  <si>
    <t>YellowPages UAE profile | landline_or_tollfree | https://www.yellowpages-uae.com/3g-real-estate-172349</t>
  </si>
  <si>
    <t>3Gmet Technology Information</t>
  </si>
  <si>
    <t>YellowPages UAE profile | landline_or_tollfree | https://www.yellowpages-uae.com/3gmet-technology-information-158431</t>
  </si>
  <si>
    <t>YellowPages UAE profile | mobile | https://www.yellowpages-uae.com/3gmet-technology-information-158431</t>
  </si>
  <si>
    <t>YellowPages UAE profile | landline_or_tollfree | https://www.yellowpages-uae.com/3m-gulf-limited-105239</t>
  </si>
  <si>
    <t>3M Stamps And Printing Services</t>
  </si>
  <si>
    <t>YellowPages UAE profile | landline_or_tollfree | https://www.yellowpages-uae.com/3m-stamps-and-printing-services-170098</t>
  </si>
  <si>
    <t>YellowPages UAE profile | mobile | https://www.yellowpages-uae.com/3m-stamps-and-printing-services-170098</t>
  </si>
  <si>
    <t>3NPower</t>
  </si>
  <si>
    <t>YellowPages UAE profile | mobile | https://www.yellowpages-uae.com/3npower-169768</t>
  </si>
  <si>
    <t>3rd Avenue Cafe</t>
  </si>
  <si>
    <t>YellowPages UAE profile | landline_or_tollfree | https://www.yellowpages-uae.com/3rd-avenue-cafe-173871</t>
  </si>
  <si>
    <t>3RS Gen Trdg LLC</t>
  </si>
  <si>
    <t>YellowPages UAE profile | landline_or_tollfree | https://www.yellowpages-uae.com/3rs-gen-trdg-llc-156628</t>
  </si>
  <si>
    <t>3s Real Estate</t>
  </si>
  <si>
    <t>YellowPages UAE profile | landline_or_tollfree | https://www.yellowpages-uae.com/3s-real-estate-193649</t>
  </si>
  <si>
    <t>3SC World FZ LLC</t>
  </si>
  <si>
    <t>YellowPages UAE profile | landline_or_tollfree | https://www.yellowpages-uae.com/3sc-world-fz-llc-157272</t>
  </si>
  <si>
    <t>3SCube Engineering Consultants</t>
  </si>
  <si>
    <t>YellowPages UAE profile | mobile | https://www.yellowpages-uae.com/3scube-engineering-consultants-190880</t>
  </si>
  <si>
    <t>4 Color Digital Printing Co</t>
  </si>
  <si>
    <t>YellowPages UAE profile | landline_or_tollfree | https://www.yellowpages-uae.com/4-color-digital-printing-co-39956</t>
  </si>
  <si>
    <t>4 Direction Real Estate Broker</t>
  </si>
  <si>
    <t>YellowPages UAE profile | landline_or_tollfree | https://www.yellowpages-uae.com/4-direction-real-estate-broker-172350</t>
  </si>
  <si>
    <t>4 G Com General Trading LLC</t>
  </si>
  <si>
    <t>YellowPages UAE profile | landline_or_tollfree | https://www.yellowpages-uae.com/4-g-com-general-trading-llc-156044</t>
  </si>
  <si>
    <t>4 Guys</t>
  </si>
  <si>
    <t>YellowPages UAE profile | landline_or_tollfree | https://www.yellowpages-uae.com/4-guys-147691</t>
  </si>
  <si>
    <t>4 M Building Materials Trading LLC</t>
  </si>
  <si>
    <t>YellowPages UAE profile | landline_or_tollfree | https://www.yellowpages-uae.com/4-m-building-materials-trading-llc-162438</t>
  </si>
  <si>
    <t>YellowPages UAE profile | mobile | https://www.yellowpages-uae.com/4-m-building-materials-trading-llc-162438</t>
  </si>
  <si>
    <t>4 S International LLC</t>
  </si>
  <si>
    <t>YellowPages UAE profile | landline_or_tollfree | https://www.yellowpages-uae.com/4-s-international-llc-146971</t>
  </si>
  <si>
    <t>4 Seas Gen Trdg</t>
  </si>
  <si>
    <t>YellowPages UAE profile | landline_or_tollfree | https://www.yellowpages-uae.com/4-seas-gen-trdg-152281</t>
  </si>
  <si>
    <t>4 Seasons Entertainment and Events</t>
  </si>
  <si>
    <t>YellowPages UAE profile | landline_or_tollfree | https://www.yellowpages-uae.com/4-seasons-entertainment-and-events-122674</t>
  </si>
  <si>
    <t>4 Star Auto Trading FZC</t>
  </si>
  <si>
    <t>YellowPages UAE profile | landline_or_tollfree | https://www.yellowpages-uae.com/4-star-auto-trading-fzc-149062</t>
  </si>
  <si>
    <t>4 U General Trdg LLC</t>
  </si>
  <si>
    <t>YellowPages UAE profile | landline_or_tollfree | https://www.yellowpages-uae.com/4-u-general-trdg-llc-152306</t>
  </si>
  <si>
    <t>4 U Real Estate</t>
  </si>
  <si>
    <t>YellowPages UAE profile | landline_or_tollfree | https://www.yellowpages-uae.com/4-u-real-estate-172352</t>
  </si>
  <si>
    <t>4 Walls Technical Services Contracting LLC</t>
  </si>
  <si>
    <t>YellowPages UAE profile | mobile | https://www.yellowpages-uae.com/4-walls-technical-services-contracting-llc-181003</t>
  </si>
  <si>
    <t>4 X Force Motors LLC</t>
  </si>
  <si>
    <t>YellowPages UAE profile | landline_or_tollfree | https://www.yellowpages-uae.com/4-x-force-motors-llc-152481</t>
  </si>
  <si>
    <t>4c Mortgage Consultancy</t>
  </si>
  <si>
    <t>YellowPages UAE profile | landline_or_tollfree | https://www.yellowpages-uae.com/4c-mortgage-consultancy-172354</t>
  </si>
  <si>
    <t>4ever properties International Dubai</t>
  </si>
  <si>
    <t>YellowPages UAE profile | landline_or_tollfree | https://www.yellowpages-uae.com/4ever-properties-international-dubai-124699</t>
  </si>
  <si>
    <t>4i Apps Solutions FZC</t>
  </si>
  <si>
    <t>YellowPages UAE profile | landline_or_tollfree | https://www.yellowpages-uae.com/4i-apps-solutions-fzc-162929</t>
  </si>
  <si>
    <t>4S Study Abroad Education Services</t>
  </si>
  <si>
    <t>YellowPages UAE profile | landline_or_tollfree | https://www.yellowpages-uae.com/4s-study-abroad-education-services-158756</t>
  </si>
  <si>
    <t>YellowPages UAE profile | mobile | https://www.yellowpages-uae.com/4s-study-abroad-education-services-158756</t>
  </si>
  <si>
    <t>5 G General Trading LLC</t>
  </si>
  <si>
    <t>YellowPages UAE profile | landline_or_tollfree | https://www.yellowpages-uae.com/5-g-general-trading-llc-158972</t>
  </si>
  <si>
    <t>55 Car Care</t>
  </si>
  <si>
    <t>YellowPages UAE profile | mobile | https://www.yellowpages-uae.com/55-car-care-190579</t>
  </si>
  <si>
    <t>5N Business Consultants</t>
  </si>
  <si>
    <t>YellowPages UAE profile | mobile | https://www.yellowpages-uae.com/5n-business-consultants-188206</t>
  </si>
  <si>
    <t>5S Technical Services LLC</t>
  </si>
  <si>
    <t>YellowPages UAE profile | landline_or_tollfree | https://www.yellowpages-uae.com/5s-technical-services-llc-188989</t>
  </si>
  <si>
    <t>6 Sigma Financial Consultancy LLC</t>
  </si>
  <si>
    <t>YellowPages UAE profile | mobile | https://www.yellowpages-uae.com/6-sigma-financial-consultancy-llc-149641</t>
  </si>
  <si>
    <t>60 Minutes Laundry LLC</t>
  </si>
  <si>
    <t>YellowPages UAE profile | mobile | https://www.yellowpages-uae.com/60-minutes-laundry-llc-188547</t>
  </si>
  <si>
    <t>7 Eleven Mart</t>
  </si>
  <si>
    <t>YellowPages UAE profile | landline_or_tollfree | https://www.yellowpages-uae.com/7-eleven-mart-125216</t>
  </si>
  <si>
    <t>7 Hills Grocery</t>
  </si>
  <si>
    <t>YellowPages UAE profile | landline_or_tollfree | https://www.yellowpages-uae.com/7-hills-grocery-165681</t>
  </si>
  <si>
    <t>7 Media MFZ LLC</t>
  </si>
  <si>
    <t>YellowPages UAE profile | mobile | https://www.yellowpages-uae.com/7-media-mfz-llc-162983</t>
  </si>
  <si>
    <t>7 Ocean General Trading LLC</t>
  </si>
  <si>
    <t>YellowPages UAE profile | landline_or_tollfree | https://www.yellowpages-uae.com/7-ocean-general-trading-llc-169689</t>
  </si>
  <si>
    <t>YellowPages UAE profile | mobile | https://www.yellowpages-uae.com/7-ocean-general-trading-llc-169689</t>
  </si>
  <si>
    <t>7 Routes Decoration Design and Fit Out</t>
  </si>
  <si>
    <t>YellowPages UAE profile | mobile | https://www.yellowpages-uae.com/7-routes-decoration-design-and-fit-out-185725</t>
  </si>
  <si>
    <t>7 Seas General Trading LLC</t>
  </si>
  <si>
    <t>YellowPages UAE profile | mobile | https://www.yellowpages-uae.com/7-seas-general-trading-llc-183945</t>
  </si>
  <si>
    <t>7 Seven Luxury Car Rental</t>
  </si>
  <si>
    <t>YellowPages UAE profile | mobile | https://www.yellowpages-uae.com/7-seven-luxury-car-rental-183596</t>
  </si>
  <si>
    <t>7 Stars Party Organizer</t>
  </si>
  <si>
    <t>YellowPages UAE profile | landline_or_tollfree | https://www.yellowpages-uae.com/7-stars-party-organizer-134973</t>
  </si>
  <si>
    <t>7 Wonders Tourism LLC</t>
  </si>
  <si>
    <t>YellowPages UAE profile | landline_or_tollfree | https://www.yellowpages-uae.com/7-wonders-tourism-llc-161842</t>
  </si>
  <si>
    <t>7-11 Grocery</t>
  </si>
  <si>
    <t>YellowPages UAE profile | landline_or_tollfree | https://www.yellowpages-uae.com/7-11-grocery-165682</t>
  </si>
  <si>
    <t>77 Carpet &amp; Curtains Co</t>
  </si>
  <si>
    <t>YellowPages UAE profile | landline_or_tollfree | https://www.yellowpages-uae.com/77-carpet-curtains-co-161287</t>
  </si>
  <si>
    <t>77 Veggie Boutique</t>
  </si>
  <si>
    <t>YellowPages UAE profile | landline_or_tollfree | https://www.yellowpages-uae.com/77-veggie-boutique-152094</t>
  </si>
  <si>
    <t>777 Cars Trading LLC</t>
  </si>
  <si>
    <t>YellowPages UAE profile | landline_or_tollfree | https://www.yellowpages-uae.com/777-cars-trading-llc-181914</t>
  </si>
  <si>
    <t>YellowPages UAE profile | mobile | https://www.yellowpages-uae.com/777-cars-trading-llc-181914</t>
  </si>
  <si>
    <t>786 Rent A Car LLC</t>
  </si>
  <si>
    <t>YellowPages UAE profile | landline_or_tollfree | https://www.yellowpages-uae.com/786-rent-a-car-llc-159304</t>
  </si>
  <si>
    <t>786 Technologies LLC</t>
  </si>
  <si>
    <t>YellowPages UAE profile | landline_or_tollfree | https://www.yellowpages-uae.com/786-technologies-llc-157050</t>
  </si>
  <si>
    <t>7em Consultants</t>
  </si>
  <si>
    <t>YellowPages UAE profile | landline_or_tollfree | https://www.yellowpages-uae.com/7em-consultants-161552</t>
  </si>
  <si>
    <t>7G Media Consultancies</t>
  </si>
  <si>
    <t>YellowPages UAE profile | landline_or_tollfree | https://www.yellowpages-uae.com/7g-media-147179</t>
  </si>
  <si>
    <t>8 Keyz</t>
  </si>
  <si>
    <t>YellowPages UAE profile | landline_or_tollfree | https://www.yellowpages-uae.com/8-keyz-162794</t>
  </si>
  <si>
    <t>800 BBATTERY</t>
  </si>
  <si>
    <t>YellowPages UAE profile | mobile | https://www.yellowpages-uae.com/800-bbattery-194580</t>
  </si>
  <si>
    <t>800 Carguru</t>
  </si>
  <si>
    <t>YellowPages UAE profile | mobile | https://www.yellowpages-uae.com/800-carguru-187270</t>
  </si>
  <si>
    <t>800 Leather Solutions</t>
  </si>
  <si>
    <t>YellowPages UAE profile | landline_or_tollfree | https://www.yellowpages-uae.com/800-leather-solutions-195417</t>
  </si>
  <si>
    <t>YellowPages UAE profile | mobile | https://www.yellowpages-uae.com/800-leather-solutions-195417</t>
  </si>
  <si>
    <t>800 Movers</t>
  </si>
  <si>
    <t>YellowPages UAE profile | landline_or_tollfree | https://www.yellowpages-uae.com/800-movers-188990</t>
  </si>
  <si>
    <t>YellowPages UAE profile | mobile | https://www.yellowpages-uae.com/800-movers-188990</t>
  </si>
  <si>
    <t>800 Pergola</t>
  </si>
  <si>
    <t>YellowPages UAE profile | landline_or_tollfree | https://www.yellowpages-uae.com/800-pergola-191660</t>
  </si>
  <si>
    <t>YellowPages UAE profile | mobile | https://www.yellowpages-uae.com/800-pergola-191660</t>
  </si>
  <si>
    <t>800 Pizza</t>
  </si>
  <si>
    <t>YellowPages UAE profile | landline_or_tollfree | https://www.yellowpages-uae.com/800-pizza-173614</t>
  </si>
  <si>
    <t>800 Tailor</t>
  </si>
  <si>
    <t>YellowPages UAE profile | landline_or_tollfree | https://www.yellowpages-uae.com/800-tailor-162633</t>
  </si>
  <si>
    <t>800 Thali</t>
  </si>
  <si>
    <t>YellowPages UAE profile | landline_or_tollfree | https://www.yellowpages-uae.com/800-thali-174736</t>
  </si>
  <si>
    <t>800 Truck</t>
  </si>
  <si>
    <t>YellowPages UAE profile | mobile | https://www.yellowpages-uae.com/800-truck-184760</t>
  </si>
  <si>
    <t>800website</t>
  </si>
  <si>
    <t>YellowPages UAE profile | mobile | https://www.yellowpages-uae.com/800website-190338</t>
  </si>
  <si>
    <t>88 Video Centre LLC</t>
  </si>
  <si>
    <t>YellowPages UAE profile | landline_or_tollfree | https://www.yellowpages-uae.com/88-video-centre-llc-161362</t>
  </si>
  <si>
    <t>888 Real Estate Broker</t>
  </si>
  <si>
    <t>YellowPages UAE profile | landline_or_tollfree | https://www.yellowpages-uae.com/888-real-estate-broker-172356</t>
  </si>
  <si>
    <t>89.4 Tamil Fm</t>
  </si>
  <si>
    <t>YellowPages UAE profile | landline_or_tollfree | https://www.yellowpages-uae.com/89-4-tamil-fm-183144</t>
  </si>
  <si>
    <t>8th Street Studios</t>
  </si>
  <si>
    <t>YellowPages UAE profile | landline_or_tollfree | https://www.yellowpages-uae.com/8th-street-studios-162690</t>
  </si>
  <si>
    <t>911 Security Services</t>
  </si>
  <si>
    <t>YellowPages UAE profile | landline_or_tollfree | https://www.yellowpages-uae.com/911-security-services-152400</t>
  </si>
  <si>
    <t>999 Rent A Car</t>
  </si>
  <si>
    <t>YellowPages UAE profile | landline_or_tollfree | https://www.yellowpages-uae.com/999-rent-a-car-150801</t>
  </si>
  <si>
    <t>9T Studio LLC FC</t>
  </si>
  <si>
    <t>YellowPages UAE profile | landline_or_tollfree | https://www.yellowpages-uae.com/9t-studio-llc-fc-188389</t>
  </si>
  <si>
    <t>YellowPages UAE profile | mobile | https://www.yellowpages-uae.com/9t-studio-llc-fc-188389</t>
  </si>
  <si>
    <t>A &amp; A Associate</t>
  </si>
  <si>
    <t>YellowPages UAE profile | landline_or_tollfree | https://www.yellowpages-uae.com/a-a-associate-172357</t>
  </si>
  <si>
    <t>YellowPages UAE profile | mobile | https://www.yellowpages-uae.com/a-a-associate-172357</t>
  </si>
  <si>
    <t>A &amp; A Real Estate</t>
  </si>
  <si>
    <t>YellowPages UAE profile | landline_or_tollfree | https://www.yellowpages-uae.com/a-a-real-estate-172359</t>
  </si>
  <si>
    <t>A &amp; F Auto Spare Parts Trading LLC</t>
  </si>
  <si>
    <t>YellowPages UAE profile | landline_or_tollfree | https://www.yellowpages-uae.com/a-f-auto-spare-parts-trading-llc-146549</t>
  </si>
  <si>
    <t>A &amp; J Decor LLC</t>
  </si>
  <si>
    <t>YellowPages UAE profile | landline_or_tollfree | https://www.yellowpages-uae.com/a-j-decor-llc-112619</t>
  </si>
  <si>
    <t>YellowPages UAE profile | mobile | https://www.yellowpages-uae.com/a-j-decor-llc-112619</t>
  </si>
  <si>
    <t>A &amp; T Interiors LLC</t>
  </si>
  <si>
    <t>YellowPages UAE profile | landline_or_tollfree | https://www.yellowpages-uae.com/a-t-interiors-llc-151898</t>
  </si>
  <si>
    <t>A 1 Business Services LLC</t>
  </si>
  <si>
    <t>YellowPages UAE profile | landline_or_tollfree | https://www.yellowpages-uae.com/a-1-business-services-llc-159038</t>
  </si>
  <si>
    <t>A 2 B Garage</t>
  </si>
  <si>
    <t>YellowPages UAE profile | landline_or_tollfree | https://www.yellowpages-uae.com/a-2-b-garage-152508</t>
  </si>
  <si>
    <t>A 2 R Solutions</t>
  </si>
  <si>
    <t>YellowPages UAE profile | landline_or_tollfree | https://www.yellowpages-uae.com/a-2-r-solutions-144777</t>
  </si>
  <si>
    <t>A 2 Z Advertising LLC</t>
  </si>
  <si>
    <t>YellowPages UAE profile | landline_or_tollfree | https://www.yellowpages-uae.com/a-2-z-advertising-llc-130876</t>
  </si>
  <si>
    <t>A 2 Z Architectural Engg Consultant</t>
  </si>
  <si>
    <t>YellowPages UAE profile | landline_or_tollfree | https://www.yellowpages-uae.com/a-2-z-architectural-engg-consultant-156694</t>
  </si>
  <si>
    <t>A 2 Z Car Registration Services</t>
  </si>
  <si>
    <t>YellowPages UAE profile | landline_or_tollfree | https://www.yellowpages-uae.com/a-2-z-car-registration-services-162802</t>
  </si>
  <si>
    <t>A A A Middle East</t>
  </si>
  <si>
    <t>YellowPages UAE profile | landline_or_tollfree | https://www.yellowpages-uae.com/a-a-a-middle-east-158734</t>
  </si>
  <si>
    <t>A A A Moonlight Cleaning and Maint Establishment</t>
  </si>
  <si>
    <t>YellowPages UAE profile | landline_or_tollfree | https://www.yellowpages-uae.com/a-a-a-moonlight-cleaning-and-maint-establishment-116739</t>
  </si>
  <si>
    <t>A A A Service Centre</t>
  </si>
  <si>
    <t>YellowPages UAE profile | landline_or_tollfree | https://www.yellowpages-uae.com/a-a-a-service-centre-116184</t>
  </si>
  <si>
    <t>YellowPages UAE profile | mobile | https://www.yellowpages-uae.com/a-a-a-service-centre-116184</t>
  </si>
  <si>
    <t>A A Electronics</t>
  </si>
  <si>
    <t>YellowPages UAE profile | landline_or_tollfree | https://www.yellowpages-uae.com/a-a-electronics-145855</t>
  </si>
  <si>
    <t>A A H E Furniture Trading</t>
  </si>
  <si>
    <t>YellowPages UAE profile | landline_or_tollfree | https://www.yellowpages-uae.com/a-a-h-e-furniture-trading-189145</t>
  </si>
  <si>
    <t>YellowPages UAE profile | mobile | https://www.yellowpages-uae.com/a-a-h-e-furniture-trading-189145</t>
  </si>
  <si>
    <t>A A K Middle East LLC</t>
  </si>
  <si>
    <t>YellowPages UAE profile | landline_or_tollfree | https://www.yellowpages-uae.com/a-a-k-middle-east-llc-152536</t>
  </si>
  <si>
    <t>A A Mulla Carpentry</t>
  </si>
  <si>
    <t>YellowPages UAE profile | landline_or_tollfree | https://www.yellowpages-uae.com/a-a-mulla-carpentry-1342</t>
  </si>
  <si>
    <t>A Al Hamadi Electromechanical Works LLC</t>
  </si>
  <si>
    <t>YellowPages UAE profile | landline_or_tollfree | https://www.yellowpages-uae.com/a-al-hamadi-electromechanical-works-llc-158887</t>
  </si>
  <si>
    <t>A And B Advertising</t>
  </si>
  <si>
    <t>YellowPages UAE profile | mobile | https://www.yellowpages-uae.com/a-and-b-advertising-153874</t>
  </si>
  <si>
    <t>A and M Partners LLC</t>
  </si>
  <si>
    <t>YellowPages UAE profile | landline_or_tollfree | https://www.yellowpages-uae.com/a-and-m-partners-llc-146009</t>
  </si>
  <si>
    <t>A and M Partners Trading LLC</t>
  </si>
  <si>
    <t>YellowPages UAE profile | landline_or_tollfree | https://www.yellowpages-uae.com/a-and-m-partners-trading-llc-153778</t>
  </si>
  <si>
    <t>A and Z Medical Equipment Trading</t>
  </si>
  <si>
    <t>YellowPages UAE profile | landline_or_tollfree | https://www.yellowpages-uae.com/a-and-z-medical-equipment-trading-119265</t>
  </si>
  <si>
    <t>A and Z Technologies LLC</t>
  </si>
  <si>
    <t>YellowPages UAE profile | landline_or_tollfree | https://www.yellowpages-uae.com/a-and-z-technologies-llc-177872</t>
  </si>
  <si>
    <t>YellowPages UAE profile | mobile | https://www.yellowpages-uae.com/a-and-z-technologies-llc-177872</t>
  </si>
  <si>
    <t>A Aras Medical Devices and Equipment CO LLC</t>
  </si>
  <si>
    <t>YellowPages UAE profile | landline_or_tollfree | https://www.yellowpages-uae.com/a-aras-medical-devices-and-equipment-co-llc-180162</t>
  </si>
  <si>
    <t>YellowPages UAE profile | mobile | https://www.yellowpages-uae.com/a-aras-medical-devices-and-equipment-co-llc-180162</t>
  </si>
  <si>
    <t>A B Building Contg Company LLC</t>
  </si>
  <si>
    <t>YellowPages UAE profile | landline_or_tollfree | https://www.yellowpages-uae.com/a-b-building-contg-company-llc-117582</t>
  </si>
  <si>
    <t>A B C Tours</t>
  </si>
  <si>
    <t>YellowPages UAE profile | landline_or_tollfree | https://www.yellowpages-uae.com/a-b-c-tours-146342</t>
  </si>
  <si>
    <t>A B Copy Point LLC</t>
  </si>
  <si>
    <t>YellowPages UAE profile | landline_or_tollfree | https://www.yellowpages-uae.com/a-b-copy-point-llc-131740</t>
  </si>
  <si>
    <t>A B Cranes</t>
  </si>
  <si>
    <t>YellowPages UAE profile | landline_or_tollfree | https://www.yellowpages-uae.com/a-b-cranes-184835</t>
  </si>
  <si>
    <t>A B D Elsalam Hassine Technical Services</t>
  </si>
  <si>
    <t>YellowPages UAE profile | landline_or_tollfree | https://www.yellowpages-uae.com/a-b-d-elsalam-hassine-technical-services-161958</t>
  </si>
  <si>
    <t>A B D Interiors LLC</t>
  </si>
  <si>
    <t>YellowPages UAE profile | landline_or_tollfree | https://www.yellowpages-uae.com/a-b-d-interiors-llc-153405</t>
  </si>
  <si>
    <t>YellowPages UAE profile | mobile | https://www.yellowpages-uae.com/a-b-d-interiors-llc-153405</t>
  </si>
  <si>
    <t>A B D International Building Material Trading LLC</t>
  </si>
  <si>
    <t>YellowPages UAE profile | landline_or_tollfree | https://www.yellowpages-uae.com/a-b-d-intl-bldg-mat-trdg-llc-146697</t>
  </si>
  <si>
    <t>A B Garage</t>
  </si>
  <si>
    <t>YellowPages UAE profile | landline_or_tollfree | https://www.yellowpages-uae.com/a-b-garage-170100</t>
  </si>
  <si>
    <t>YellowPages UAE profile | mobile | https://www.yellowpages-uae.com/a-b-garage-170100</t>
  </si>
  <si>
    <t>A B M Designs LLC</t>
  </si>
  <si>
    <t>YellowPages UAE profile | landline_or_tollfree | https://www.yellowpages-uae.com/a-b-m-designs-llc-162182</t>
  </si>
  <si>
    <t>A B M Marks and Rights</t>
  </si>
  <si>
    <t>YellowPages UAE profile | landline_or_tollfree | https://www.yellowpages-uae.com/a-b-m-marks-and-rights-153754</t>
  </si>
  <si>
    <t>A B Print House Llc</t>
  </si>
  <si>
    <t>YellowPages UAE profile | landline_or_tollfree | https://www.yellowpages-uae.com/a-b-print-house-llc-183315</t>
  </si>
  <si>
    <t>YellowPages UAE profile | mobile | https://www.yellowpages-uae.com/a-b-print-house-llc-183315</t>
  </si>
  <si>
    <t>A B Q Alwardah Gen Trdg LLC</t>
  </si>
  <si>
    <t>YellowPages UAE profile | landline_or_tollfree | https://www.yellowpages-uae.com/a-b-q-alwardah-gen-trdg-llc-156815</t>
  </si>
  <si>
    <t>A B S Middle East LLC</t>
  </si>
  <si>
    <t>YellowPages UAE profile | landline_or_tollfree | https://www.yellowpages-uae.com/a-b-s-middle-east-llc-150010</t>
  </si>
  <si>
    <t>A C G General Trading LLC</t>
  </si>
  <si>
    <t>YellowPages UAE profile | landline_or_tollfree | https://www.yellowpages-uae.com/a-c-g-general-trading-llc-144265</t>
  </si>
  <si>
    <t>A C I Consultancy</t>
  </si>
  <si>
    <t>YellowPages UAE profile | landline_or_tollfree | https://www.yellowpages-uae.com/a-c-i-consultancy-163977</t>
  </si>
  <si>
    <t>A C M E Electromechanical Works LLC</t>
  </si>
  <si>
    <t>YellowPages UAE profile | landline_or_tollfree | https://www.yellowpages-uae.com/a-c-m-e-electromechanical-works-llc-155891</t>
  </si>
  <si>
    <t>A C M ME DMCC</t>
  </si>
  <si>
    <t>YellowPages UAE profile | landline_or_tollfree | https://www.yellowpages-uae.com/a-c-m-me-dmcc-127831</t>
  </si>
  <si>
    <t>A C Milan Sports Equipment</t>
  </si>
  <si>
    <t>YellowPages UAE profile | landline_or_tollfree | https://www.yellowpages-uae.com/a-c-milan-sports-equipment-120848</t>
  </si>
  <si>
    <t>YellowPages UAE profile | mobile | https://www.yellowpages-uae.com/a-c-milan-sports-equipment-120848</t>
  </si>
  <si>
    <t>A C T Computers Trdg LLC</t>
  </si>
  <si>
    <t>YellowPages UAE profile | landline_or_tollfree | https://www.yellowpages-uae.com/a-c-t-computers-trdg-llc-148221</t>
  </si>
  <si>
    <t>A Ccrdfied Company</t>
  </si>
  <si>
    <t>YellowPages UAE profile | landline_or_tollfree | https://www.yellowpages-uae.com/a-ccrdfied-company-146304</t>
  </si>
  <si>
    <t>A Class Chauffeur</t>
  </si>
  <si>
    <t>YellowPages UAE profile | landline_or_tollfree | https://www.yellowpages-uae.com/a-class-chauffeur-172457</t>
  </si>
  <si>
    <t>YellowPages UAE profile | mobile | https://www.yellowpages-uae.com/a-class-chauffeur-172457</t>
  </si>
  <si>
    <t>A E C Elect FZCO</t>
  </si>
  <si>
    <t>YellowPages UAE profile | landline_or_tollfree | https://www.yellowpages-uae.com/a-e-c-elect-fzco-145914</t>
  </si>
  <si>
    <t>A E C Trading LLC</t>
  </si>
  <si>
    <t>YellowPages UAE profile | landline_or_tollfree | https://www.yellowpages-uae.com/a-e-c-trading-llc-132519</t>
  </si>
  <si>
    <t>YellowPages UAE profile | mobile | https://www.yellowpages-uae.com/a-e-c-trading-llc-132519</t>
  </si>
  <si>
    <t>A E P International Trading LLC</t>
  </si>
  <si>
    <t>YellowPages UAE profile | landline_or_tollfree | https://www.yellowpages-uae.com/a-e-p-international-trading-llc-161554</t>
  </si>
  <si>
    <t>A E Prime Engineering Consultants</t>
  </si>
  <si>
    <t>YellowPages UAE profile | landline_or_tollfree | https://www.yellowpages-uae.com/a-e-prime-engineering-consultants-169457</t>
  </si>
  <si>
    <t>A E T Establiashment</t>
  </si>
  <si>
    <t>YellowPages UAE profile | landline_or_tollfree | https://www.yellowpages-uae.com/a-e-t-est-101212</t>
  </si>
  <si>
    <t>A F Husain LLC</t>
  </si>
  <si>
    <t>YellowPages UAE profile | landline_or_tollfree | https://www.yellowpages-uae.com/a-f-husain-llc-153008</t>
  </si>
  <si>
    <t>YellowPages UAE profile | mobile | https://www.yellowpages-uae.com/a-f-husain-llc-153008</t>
  </si>
  <si>
    <t>A F M group</t>
  </si>
  <si>
    <t>YellowPages UAE profile | landline_or_tollfree | https://www.yellowpages-uae.com/a-f-m-group-163955</t>
  </si>
  <si>
    <t>A F S Scaffolding Trading LLC</t>
  </si>
  <si>
    <t>YellowPages UAE profile | landline_or_tollfree | https://www.yellowpages-uae.com/a-f-s-scaffolding-trading-llc-159127</t>
  </si>
  <si>
    <t>A G C General Trading LLC</t>
  </si>
  <si>
    <t>YellowPages UAE profile | landline_or_tollfree | https://www.yellowpages-uae.com/a-g-c-general-trading-llc-131585</t>
  </si>
  <si>
    <t>YellowPages UAE profile | mobile | https://www.yellowpages-uae.com/a-g-c-general-trading-llc-131585</t>
  </si>
  <si>
    <t>A G D Electromechanical LLC</t>
  </si>
  <si>
    <t>YellowPages UAE profile | landline_or_tollfree | https://www.yellowpages-uae.com/a-g-d-electromechanical-llc-158302</t>
  </si>
  <si>
    <t>A G N Mak Chartered Certified Accounts</t>
  </si>
  <si>
    <t>YellowPages UAE profile | landline_or_tollfree | https://www.yellowpages-uae.com/a-g-n-mak-chartered-certified-accounts-169832</t>
  </si>
  <si>
    <t>A G S Relocations</t>
  </si>
  <si>
    <t>YellowPages UAE profile | landline_or_tollfree | https://www.yellowpages-uae.com/a-g-s-relocations-163939</t>
  </si>
  <si>
    <t>A H S Trading</t>
  </si>
  <si>
    <t>YellowPages UAE profile | landline_or_tollfree | https://www.yellowpages-uae.com/a-h-s-trading-122618</t>
  </si>
  <si>
    <t>YellowPages UAE profile | mobile | https://www.yellowpages-uae.com/a-h-s-trading-122618</t>
  </si>
  <si>
    <t>A H Technical Services LLC</t>
  </si>
  <si>
    <t>YellowPages UAE profile | mobile | https://www.yellowpages-uae.com/a-h-technical-services-llc-179098</t>
  </si>
  <si>
    <t>A H Trading Establishment</t>
  </si>
  <si>
    <t>YellowPages UAE profile | landline_or_tollfree | https://www.yellowpages-uae.com/a-h-trading-establishment-144069</t>
  </si>
  <si>
    <t>A I G Shipping LLC</t>
  </si>
  <si>
    <t>YellowPages UAE profile | mobile | https://www.yellowpages-uae.com/a-i-g-shipping-llc-179553</t>
  </si>
  <si>
    <t>YellowPages UAE profile | landline_or_tollfree | https://www.yellowpages-uae.com/a-i-g-shipping-llc-179553</t>
  </si>
  <si>
    <t>A J Security</t>
  </si>
  <si>
    <t>YellowPages UAE profile | landline_or_tollfree | https://www.yellowpages-uae.com/a-j-security-162459</t>
  </si>
  <si>
    <t>A J Sports</t>
  </si>
  <si>
    <t>YellowPages UAE profile | landline_or_tollfree | https://www.yellowpages-uae.com/a-j-sports-107867</t>
  </si>
  <si>
    <t>A K Design</t>
  </si>
  <si>
    <t>YellowPages UAE profile | landline_or_tollfree | https://www.yellowpages-uae.com/a-k-design-161599</t>
  </si>
  <si>
    <t>A K S Equip Rep</t>
  </si>
  <si>
    <t>YellowPages UAE profile | landline_or_tollfree | https://www.yellowpages-uae.com/a-k-s-equip-rep-139882</t>
  </si>
  <si>
    <t>A K T Green Lighting Trdg LLC</t>
  </si>
  <si>
    <t>YellowPages UAE profile | landline_or_tollfree | https://www.yellowpages-uae.com/a-k-t-green-lighting-trdg-llc-148499</t>
  </si>
  <si>
    <t>A La Turca</t>
  </si>
  <si>
    <t>YellowPages UAE profile | landline_or_tollfree | https://www.yellowpages-uae.com/a-la-turca-174563</t>
  </si>
  <si>
    <t>A M A Freight International LLC</t>
  </si>
  <si>
    <t>YellowPages UAE profile | landline_or_tollfree | https://www.yellowpages-uae.com/a-m-a-freight-international-llc-158961</t>
  </si>
  <si>
    <t>YellowPages UAE profile | landline_or_tollfree | https://www.yellowpages-uae.com/a-m-a-perfumes-manufacturing-llc-109245</t>
  </si>
  <si>
    <t>A M Batterjee Group</t>
  </si>
  <si>
    <t>YellowPages UAE profile | landline_or_tollfree | https://www.yellowpages-uae.com/a-m-batterjee-group-158453</t>
  </si>
  <si>
    <t>A M Dhamma Perfumes Industry LLC</t>
  </si>
  <si>
    <t>YellowPages UAE profile | landline_or_tollfree | https://www.yellowpages-uae.com/a-m-dhamma-perfumes-industry-llc-180181</t>
  </si>
  <si>
    <t>YellowPages UAE profile | mobile | https://www.yellowpages-uae.com/a-m-dhamma-perfumes-industry-llc-180181</t>
  </si>
  <si>
    <t>A M Electronics Trading</t>
  </si>
  <si>
    <t>YellowPages UAE profile | landline_or_tollfree | https://www.yellowpages-uae.com/a-m-electronics-trading-146659</t>
  </si>
  <si>
    <t>YellowPages UAE profile | mobile | https://www.yellowpages-uae.com/a-m-electronics-trading-146659</t>
  </si>
  <si>
    <t>A M G Motors LLC</t>
  </si>
  <si>
    <t>YellowPages UAE profile | landline_or_tollfree | https://www.yellowpages-uae.com/a-m-g-motors-llc-141500</t>
  </si>
  <si>
    <t>A M I Express Cargo LLC</t>
  </si>
  <si>
    <t>YellowPages UAE profile | landline_or_tollfree | https://www.yellowpages-uae.com/a-m-i-express-cargo-llc-152420</t>
  </si>
  <si>
    <t>A M Jalal A/C &amp; Ref Equip Trdg</t>
  </si>
  <si>
    <t>YellowPages UAE profile | landline_or_tollfree | https://www.yellowpages-uae.com/a-m-jalal-a-c-ref-equip-trdg-161201</t>
  </si>
  <si>
    <t>A M M General Trading LLC</t>
  </si>
  <si>
    <t>YellowPages UAE profile | landline_or_tollfree | https://www.yellowpages-uae.com/a-m-m-general-trading-llc-165031</t>
  </si>
  <si>
    <t>A M Noor Real Estate</t>
  </si>
  <si>
    <t>YellowPages UAE profile | landline_or_tollfree | https://www.yellowpages-uae.com/a-m-noor-real-estate-131161</t>
  </si>
  <si>
    <t>A M R B LLC</t>
  </si>
  <si>
    <t>YellowPages UAE profile | landline_or_tollfree | https://www.yellowpages-uae.com/a-m-r-b-llc-152482</t>
  </si>
  <si>
    <t>A M S Intl FZ LLC</t>
  </si>
  <si>
    <t>YellowPages UAE profile | landline_or_tollfree | https://www.yellowpages-uae.com/a-m-s-intl-fz-llc-147289</t>
  </si>
  <si>
    <t>A M S Tools Equipment Trading LLC</t>
  </si>
  <si>
    <t>YellowPages UAE profile | landline_or_tollfree | https://www.yellowpages-uae.com/a-m-s-tools-equipment-trading-llc-162525</t>
  </si>
  <si>
    <t>YellowPages UAE profile | mobile | https://www.yellowpages-uae.com/a-m-s-tools-equipment-trading-llc-162525</t>
  </si>
  <si>
    <t>A M T Gen Trdg LLC</t>
  </si>
  <si>
    <t>YellowPages UAE profile | landline_or_tollfree | https://www.yellowpages-uae.com/a-m-t-gen-trdg-llc-147777</t>
  </si>
  <si>
    <t>A M T Spares Intl LLC</t>
  </si>
  <si>
    <t>YellowPages UAE profile | landline_or_tollfree | https://www.yellowpages-uae.com/a-m-t-spares-intl-llc-146398</t>
  </si>
  <si>
    <t>A M Trdg Co LLC</t>
  </si>
  <si>
    <t>YellowPages UAE profile | landline_or_tollfree | https://www.yellowpages-uae.com/a-m-trdg-co-llc-161347</t>
  </si>
  <si>
    <t>YellowPages UAE profile | mobile | https://www.yellowpages-uae.com/a-m-trdg-co-llc-161347</t>
  </si>
  <si>
    <t>A M Y Opticals LLC</t>
  </si>
  <si>
    <t>YellowPages UAE profile | landline_or_tollfree | https://www.yellowpages-uae.com/a-m-y-opticals-llc-162893</t>
  </si>
  <si>
    <t>A Mart Supermarket</t>
  </si>
  <si>
    <t>YellowPages UAE profile | landline_or_tollfree | https://www.yellowpages-uae.com/a-mart-supermarket-165683</t>
  </si>
  <si>
    <t>A N S Intl Gen Trdg LLC</t>
  </si>
  <si>
    <t>YellowPages UAE profile | landline_or_tollfree | https://www.yellowpages-uae.com/a-n-s-intl-gen-trdg-llc-144312</t>
  </si>
  <si>
    <t>A N Topline Technical Works LLC</t>
  </si>
  <si>
    <t>YellowPages UAE profile | landline_or_tollfree | https://www.yellowpages-uae.com/a-n-topline-technical-works-llc-159168</t>
  </si>
  <si>
    <t>A N Trading Company LLC</t>
  </si>
  <si>
    <t>YellowPages UAE profile | landline_or_tollfree | https://www.yellowpages-uae.com/a-n-trading-company-llc-41660</t>
  </si>
  <si>
    <t>A One Auto Spare Parts Trdg</t>
  </si>
  <si>
    <t>YellowPages UAE profile | landline_or_tollfree | https://www.yellowpages-uae.com/a-one-auto-spare-parts-trdg-160945</t>
  </si>
  <si>
    <t>A One Interiors LLC</t>
  </si>
  <si>
    <t>YellowPages UAE profile | mobile | https://www.yellowpages-uae.com/a-one-interiors-llc-193991</t>
  </si>
  <si>
    <t>A One Productions Technical Services LLC</t>
  </si>
  <si>
    <t>YellowPages UAE profile | landline_or_tollfree | https://www.yellowpages-uae.com/a-one-productions-technical-services-llc-161656</t>
  </si>
  <si>
    <t>A One Tools Trading LLC</t>
  </si>
  <si>
    <t>YellowPages UAE profile | landline_or_tollfree | https://www.yellowpages-uae.com/a-one-tools-trading-llc-163931</t>
  </si>
  <si>
    <t>YellowPages UAE profile | mobile | https://www.yellowpages-uae.com/a-one-tools-trading-llc-163931</t>
  </si>
  <si>
    <t>A One Web Design and Digital Marketing Agency</t>
  </si>
  <si>
    <t>YellowPages UAE profile | mobile | https://www.yellowpages-uae.com/a-one-web-design-and-digital-marketing-agency-188850</t>
  </si>
  <si>
    <t>A P G Intl LLC</t>
  </si>
  <si>
    <t>YellowPages UAE profile | landline_or_tollfree | https://www.yellowpages-uae.com/a-p-g-intl-llc-152404</t>
  </si>
  <si>
    <t>A P G Management Consulting</t>
  </si>
  <si>
    <t>YellowPages UAE profile | landline_or_tollfree | https://www.yellowpages-uae.com/a-p-g-management-consulting-151685</t>
  </si>
  <si>
    <t>A P H Technologies</t>
  </si>
  <si>
    <t>YellowPages UAE profile | landline_or_tollfree | https://www.yellowpages-uae.com/a-p-h-technologies-152466</t>
  </si>
  <si>
    <t>A Plus Real Estate</t>
  </si>
  <si>
    <t>YellowPages UAE profile | landline_or_tollfree | https://www.yellowpages-uae.com/a-plus-real-estate-172360</t>
  </si>
  <si>
    <t>A Plus Way General Trading LLC</t>
  </si>
  <si>
    <t>YellowPages UAE profile | landline_or_tollfree | https://www.yellowpages-uae.com/a-plus-way-general-trading-llc-146040</t>
  </si>
  <si>
    <t>A R Gents Track Readymade and Perfumes</t>
  </si>
  <si>
    <t>YellowPages UAE profile | landline_or_tollfree | https://www.yellowpages-uae.com/a-r-gents-track-readymade-and-perfumes-145103</t>
  </si>
  <si>
    <t>A R L Trading LLC</t>
  </si>
  <si>
    <t>YellowPages UAE profile | landline_or_tollfree | https://www.yellowpages-uae.com/a-r-l-trading-llc-156200</t>
  </si>
  <si>
    <t>A R Overseas Real Estate</t>
  </si>
  <si>
    <t>YellowPages UAE profile | landline_or_tollfree | https://www.yellowpages-uae.com/a-r-overseas-real-estate-160932</t>
  </si>
  <si>
    <t>A R S B Trading LLC</t>
  </si>
  <si>
    <t>YellowPages UAE profile | mobile | https://www.yellowpages-uae.com/a-r-s-b-trading-llc-190545</t>
  </si>
  <si>
    <t>A R Shipping LLC</t>
  </si>
  <si>
    <t>YellowPages UAE profile | landline_or_tollfree | https://www.yellowpages-uae.com/a-r-shipping-llc-152357</t>
  </si>
  <si>
    <t>A R Y International Exchange</t>
  </si>
  <si>
    <t>YellowPages UAE profile | landline_or_tollfree | https://www.yellowpages-uae.com/a-r-y-international-exchange-169861</t>
  </si>
  <si>
    <t>A Rauf Electrical Trading Establishment</t>
  </si>
  <si>
    <t>YellowPages UAE profile | landline_or_tollfree | https://www.yellowpages-uae.com/a-rauf-electrical-trading-establishment-138386</t>
  </si>
  <si>
    <t>A Rauf Trading LLC</t>
  </si>
  <si>
    <t>YellowPages UAE profile | landline_or_tollfree | https://www.yellowpages-uae.com/a-rauf-trading-llc-159236</t>
  </si>
  <si>
    <t>A Ronai LLC</t>
  </si>
  <si>
    <t>YellowPages UAE profile | landline_or_tollfree | https://www.yellowpages-uae.com/a-ronai-llc-158894</t>
  </si>
  <si>
    <t>A S Documents Clearance</t>
  </si>
  <si>
    <t>YellowPages UAE profile | mobile | https://www.yellowpages-uae.com/a-s-documents-clearance-195284</t>
  </si>
  <si>
    <t>A S F Steel Fabrication LLC</t>
  </si>
  <si>
    <t>YellowPages UAE profile | landline_or_tollfree | https://www.yellowpages-uae.com/a-s-f-steel-fabrication-llc-157520</t>
  </si>
  <si>
    <t>A S Firms Management LLC</t>
  </si>
  <si>
    <t>YellowPages UAE profile | landline_or_tollfree | https://www.yellowpages-uae.com/a-s-firms-management-llc-161160</t>
  </si>
  <si>
    <t>A S I Scaffolding Contracting LLC</t>
  </si>
  <si>
    <t>YellowPages UAE profile | landline_or_tollfree | https://www.yellowpages-uae.com/a-s-i-scaffolding-contracting-llc-179794</t>
  </si>
  <si>
    <t>YellowPages UAE profile | mobile | https://www.yellowpages-uae.com/a-s-i-scaffolding-contracting-llc-179794</t>
  </si>
  <si>
    <t>A S M Maritime LLC</t>
  </si>
  <si>
    <t>YellowPages UAE profile | landline_or_tollfree | https://www.yellowpages-uae.com/a-s-m-maritime-llc-183946</t>
  </si>
  <si>
    <t>A S M S Workshop Hardware &amp; Tools Trading LLC</t>
  </si>
  <si>
    <t>YellowPages UAE profile | landline_or_tollfree | https://www.yellowpages-uae.com/a-s-m-s-workshop-hardware-tools-trading-llc-171170</t>
  </si>
  <si>
    <t>YellowPages UAE profile | mobile | https://www.yellowpages-uae.com/a-s-m-s-workshop-hardware-tools-trading-llc-171170</t>
  </si>
  <si>
    <t>A S M trading</t>
  </si>
  <si>
    <t>YellowPages UAE profile | mobile | https://www.yellowpages-uae.com/a-s-m-trading-182760</t>
  </si>
  <si>
    <t>A S N FZE</t>
  </si>
  <si>
    <t>YellowPages UAE profile | landline_or_tollfree | https://www.yellowpages-uae.com/a-s-n-fze-132319</t>
  </si>
  <si>
    <t>A S N International Electronics Rental LLC</t>
  </si>
  <si>
    <t>YellowPages UAE profile | landline_or_tollfree | https://www.yellowpages-uae.com/a-s-n-international-electronics-rental-llc-163287</t>
  </si>
  <si>
    <t>YellowPages UAE profile | mobile | https://www.yellowpages-uae.com/a-s-n-international-electronics-rental-llc-163287</t>
  </si>
  <si>
    <t>A S R Auditors &amp; Business Consultants</t>
  </si>
  <si>
    <t>YellowPages UAE profile | landline_or_tollfree | https://www.yellowpages-uae.com/a-s-r-auditors-business-consultants-161704</t>
  </si>
  <si>
    <t>A S T Digital Print Centre</t>
  </si>
  <si>
    <t>YellowPages UAE profile | landline_or_tollfree | https://www.yellowpages-uae.com/a-s-t-digital-print-centre-151529</t>
  </si>
  <si>
    <t>A S T Metals LLC</t>
  </si>
  <si>
    <t>YellowPages UAE profile | landline_or_tollfree | https://www.yellowpages-uae.com/a-s-t-metals-llc-148774</t>
  </si>
  <si>
    <t>A S V Building and Construction Materials Trading LLC</t>
  </si>
  <si>
    <t>YellowPages UAE profile | mobile | https://www.yellowpages-uae.com/a-s-v-building-and-construction-materials-trading-llc-185662</t>
  </si>
  <si>
    <t>A T A Cargo Movers</t>
  </si>
  <si>
    <t>YellowPages UAE profile | landline_or_tollfree | https://www.yellowpages-uae.com/a-t-a-cargo-movers-162605</t>
  </si>
  <si>
    <t>A T G Solutions LLC</t>
  </si>
  <si>
    <t>YellowPages UAE profile | landline_or_tollfree | https://www.yellowpages-uae.com/a-t-g-solutions-llc-148688</t>
  </si>
  <si>
    <t>A T Generators</t>
  </si>
  <si>
    <t>YellowPages UAE profile | landline_or_tollfree | https://www.yellowpages-uae.com/a-t-generators-106588</t>
  </si>
  <si>
    <t>A T H Business Consultants</t>
  </si>
  <si>
    <t>YellowPages UAE profile | landline_or_tollfree | https://www.yellowpages-uae.com/a-t-h-business-consultants-162241</t>
  </si>
  <si>
    <t>A T Kearney Ltd</t>
  </si>
  <si>
    <t>YellowPages UAE profile | landline_or_tollfree | https://www.yellowpages-uae.com/a-t-kearney-ltd-147678</t>
  </si>
  <si>
    <t>A to Z Curtains Trdg LLC</t>
  </si>
  <si>
    <t>YellowPages UAE profile | landline_or_tollfree | https://www.yellowpages-uae.com/a-to-z-curtains-trdg-llc-160842</t>
  </si>
  <si>
    <t>A To Z General Land Transport LLC</t>
  </si>
  <si>
    <t>YellowPages UAE profile | landline_or_tollfree | https://www.yellowpages-uae.com/a-to-z-general-land-transport-llc-155883</t>
  </si>
  <si>
    <t>A to Z Gifts Establishment</t>
  </si>
  <si>
    <t>YellowPages UAE profile | landline_or_tollfree | https://www.yellowpages-uae.com/a-to-z-gifts-establishment-126708</t>
  </si>
  <si>
    <t>A to Z Mobile Phone Repair</t>
  </si>
  <si>
    <t>YellowPages UAE profile | landline_or_tollfree | https://www.yellowpages-uae.com/a-to-z-mobile-phone-repair-185902</t>
  </si>
  <si>
    <t>YellowPages UAE profile | mobile | https://www.yellowpages-uae.com/a-to-z-mobile-phone-repair-185902</t>
  </si>
  <si>
    <t>A To Z Passengers Transport By Rented Buses LLC</t>
  </si>
  <si>
    <t>YellowPages UAE profile | mobile | https://www.yellowpages-uae.com/a-to-z-passengers-transport-by-rented-buses-llc-162028</t>
  </si>
  <si>
    <t>A To Z Services LLC</t>
  </si>
  <si>
    <t>YellowPages UAE profile | landline_or_tollfree | https://www.yellowpages-uae.com/a-to-z-services-llc-152421</t>
  </si>
  <si>
    <t>A to Z Waste Recycling and Trading LLC</t>
  </si>
  <si>
    <t>YellowPages UAE profile | mobile | https://www.yellowpages-uae.com/a-to-z-waste-recycling-and-trading-llc-192639</t>
  </si>
  <si>
    <t>YellowPages UAE profile | landline_or_tollfree | https://www.yellowpages-uae.com/a-to-z-waste-recycling-and-trading-llc-192639</t>
  </si>
  <si>
    <t>A To Z World Hospitality Suppliers LLC</t>
  </si>
  <si>
    <t>YellowPages UAE profile | landline_or_tollfree | https://www.yellowpages-uae.com/a-to-z-world-hospitality-suppliers-llc-146700</t>
  </si>
  <si>
    <t>A U A Gen Trdg</t>
  </si>
  <si>
    <t>YellowPages UAE profile | landline_or_tollfree | https://www.yellowpages-uae.com/a-u-a-gen-trdg-152512</t>
  </si>
  <si>
    <t>A U M Real Estate</t>
  </si>
  <si>
    <t>YellowPages UAE profile | landline_or_tollfree | https://www.yellowpages-uae.com/a-u-m-real-estate-161462</t>
  </si>
  <si>
    <t>A U R Rent A Car LLC</t>
  </si>
  <si>
    <t>YellowPages UAE profile | landline_or_tollfree | https://www.yellowpages-uae.com/a-u-r-rent-a-car-llc-162723</t>
  </si>
  <si>
    <t>A V L Electronics</t>
  </si>
  <si>
    <t>YellowPages UAE profile | landline_or_tollfree | https://www.yellowpages-uae.com/a-v-l-electronics-132647</t>
  </si>
  <si>
    <t>A V R Gen Trdg LLC</t>
  </si>
  <si>
    <t>YellowPages UAE profile | landline_or_tollfree | https://www.yellowpages-uae.com/a-v-r-gen-trdg-llc-156841</t>
  </si>
  <si>
    <t>A V T Fashion</t>
  </si>
  <si>
    <t>YellowPages UAE profile | landline_or_tollfree | https://www.yellowpages-uae.com/a-v-t-fashion-165019</t>
  </si>
  <si>
    <t>YellowPages UAE profile | landline_or_tollfree | https://www.yellowpages-uae.com/a-w-rostamani-lumina-llc-108521</t>
  </si>
  <si>
    <t>A Z Tamco General Trading LLC</t>
  </si>
  <si>
    <t>YellowPages UAE profile | landline_or_tollfree | https://www.yellowpages-uae.com/a-z-tamco-general-trading-llc-158893</t>
  </si>
  <si>
    <t>A&amp;M Alansari Auditing</t>
  </si>
  <si>
    <t>YellowPages UAE profile | landline_or_tollfree | https://www.yellowpages-uae.com/a-m-alansari-auditing-169600</t>
  </si>
  <si>
    <t>YellowPages UAE profile | mobile | https://www.yellowpages-uae.com/a-m-alansari-auditing-169600</t>
  </si>
  <si>
    <t>A.A. Juma Plastic Pipes &amp; Fittings Industry Co LLC</t>
  </si>
  <si>
    <t>YellowPages UAE profile | landline_or_tollfree | https://www.yellowpages-uae.com/a-a-juma-platic-pipes-fittings-industry-co-llc-177701</t>
  </si>
  <si>
    <t>YellowPages UAE profile | mobile | https://www.yellowpages-uae.com/a-a-juma-platic-pipes-fittings-industry-co-llc-177701</t>
  </si>
  <si>
    <t>A.L.B.A International General Trading LLC</t>
  </si>
  <si>
    <t>YellowPages UAE profile | landline_or_tollfree | https://www.yellowpages-uae.com/a-l-b-a-international-general-trading-llc-159268</t>
  </si>
  <si>
    <t>YellowPages UAE profile | mobile | https://www.yellowpages-uae.com/a-l-b-a-international-general-trading-llc-159268</t>
  </si>
  <si>
    <t>A+ Cleaning Services</t>
  </si>
  <si>
    <t>YellowPages UAE profile | landline_or_tollfree | https://www.yellowpages-uae.com/a-cleaning-services-148350</t>
  </si>
  <si>
    <t>A1 Engineering</t>
  </si>
  <si>
    <t>YellowPages UAE profile | landline_or_tollfree | https://www.yellowpages-uae.com/a1-engineering-148969</t>
  </si>
  <si>
    <t>A1 Fire Fighting</t>
  </si>
  <si>
    <t>YellowPages UAE profile | landline_or_tollfree | https://www.yellowpages-uae.com/a1-fire-fighting-153817</t>
  </si>
  <si>
    <t>YellowPages UAE profile | landline_or_tollfree | https://www.yellowpages-uae.com/a1-fire-fighting-176686</t>
  </si>
  <si>
    <t>YellowPages UAE profile | mobile | https://www.yellowpages-uae.com/a1-fire-fighting-176686</t>
  </si>
  <si>
    <t>A1 Properties LLC</t>
  </si>
  <si>
    <t>YellowPages UAE profile | landline_or_tollfree | https://www.yellowpages-uae.com/a1-properties-llc-172361</t>
  </si>
  <si>
    <t>A1 Star Building &amp; Safety Materials Trading LLC</t>
  </si>
  <si>
    <t>YellowPages UAE profile | landline_or_tollfree | https://www.yellowpages-uae.com/a1-star-building-safety-materials-trading-llc-192767</t>
  </si>
  <si>
    <t>YellowPages UAE profile | mobile | https://www.yellowpages-uae.com/a1-star-building-safety-materials-trading-llc-192767</t>
  </si>
  <si>
    <t>A2Z Interior</t>
  </si>
  <si>
    <t>YellowPages UAE profile | landline_or_tollfree | https://www.yellowpages-uae.com/a2z-interior-159312</t>
  </si>
  <si>
    <t>YellowPages UAE profile | mobile | https://www.yellowpages-uae.com/a2z-interior-159312</t>
  </si>
  <si>
    <t>A2Z Professional Business Services</t>
  </si>
  <si>
    <t>YellowPages UAE profile | landline_or_tollfree | https://www.yellowpages-uae.com/a2z-professional-business-services-169517</t>
  </si>
  <si>
    <t>YellowPages UAE profile | mobile | https://www.yellowpages-uae.com/a2z-professional-business-services-169517</t>
  </si>
  <si>
    <t>A3 Advertising LLC</t>
  </si>
  <si>
    <t>YellowPages UAE profile | landline_or_tollfree | https://www.yellowpages-uae.com/a3-advertising-llc-124008</t>
  </si>
  <si>
    <t>A3 Design LLC</t>
  </si>
  <si>
    <t>YellowPages UAE profile | landline_or_tollfree | https://www.yellowpages-uae.com/a3-design-llc-176869</t>
  </si>
  <si>
    <t>A4M General Trading LLC</t>
  </si>
  <si>
    <t>YellowPages UAE profile | landline_or_tollfree | https://www.yellowpages-uae.com/a4m-general-trading-llc-129507</t>
  </si>
  <si>
    <t>AAA &amp; Associates LLC</t>
  </si>
  <si>
    <t>YellowPages UAE profile | landline_or_tollfree | https://www.yellowpages-uae.com/aaa-associates-llc-134826</t>
  </si>
  <si>
    <t>YellowPages UAE profile | mobile | https://www.yellowpages-uae.com/aaa-associates-llc-134826</t>
  </si>
  <si>
    <t>AAA Concrete Floors LLC</t>
  </si>
  <si>
    <t>YellowPages UAE profile | landline_or_tollfree | https://www.yellowpages-uae.com/aaa-concrete-floors-llc-181262</t>
  </si>
  <si>
    <t>YellowPages UAE profile | mobile | https://www.yellowpages-uae.com/aaa-concrete-floors-llc-181262</t>
  </si>
  <si>
    <t>AAA Home Group</t>
  </si>
  <si>
    <t>YellowPages UAE profile | landline_or_tollfree | https://www.yellowpages-uae.com/aaa-home-group-172362</t>
  </si>
  <si>
    <t>AAA Service Center</t>
  </si>
  <si>
    <t>YellowPages UAE profile | landline_or_tollfree | https://www.yellowpages-uae.com/aaa-service-center-176438</t>
  </si>
  <si>
    <t>AAA Trading Company LLC</t>
  </si>
  <si>
    <t>YellowPages UAE profile | landline_or_tollfree | https://www.yellowpages-uae.com/aaa-trading-company-llc-122747</t>
  </si>
  <si>
    <t>YellowPages UAE profile | landline_or_tollfree | https://www.yellowpages-uae.com/aaai-al-ain-automatic-irrigation-company-llc-109841</t>
  </si>
  <si>
    <t>Aaayan Translation Services</t>
  </si>
  <si>
    <t>YellowPages UAE profile | landline_or_tollfree | https://www.yellowpages-uae.com/aaayan-translation-services-156506</t>
  </si>
  <si>
    <t>AAB Auditing of Accounts</t>
  </si>
  <si>
    <t>YellowPages UAE profile | landline_or_tollfree | https://www.yellowpages-uae.com/aab-auditing-of-accounts-178525</t>
  </si>
  <si>
    <t>YellowPages UAE profile | mobile | https://www.yellowpages-uae.com/aab-auditing-of-accounts-178525</t>
  </si>
  <si>
    <t>AAB Industries LLC</t>
  </si>
  <si>
    <t>YellowPages UAE profile | landline_or_tollfree | https://www.yellowpages-uae.com/aab-industries-llc-177544</t>
  </si>
  <si>
    <t>YellowPages UAE profile | mobile | https://www.yellowpages-uae.com/aab-industries-llc-177544</t>
  </si>
  <si>
    <t>AAB Tools</t>
  </si>
  <si>
    <t>YellowPages UAE profile | landline_or_tollfree | https://www.yellowpages-uae.com/aab-tools-157211</t>
  </si>
  <si>
    <t>YellowPages UAE profile | mobile | https://www.yellowpages-uae.com/aaban-building-cleaning-and-pest-control-service-180325</t>
  </si>
  <si>
    <t>Aaban Travel and Tourism LLC</t>
  </si>
  <si>
    <t>YellowPages UAE profile | landline_or_tollfree | https://www.yellowpages-uae.com/aaban-travel-and-tourism-llc-144782</t>
  </si>
  <si>
    <t>Aac and Concrete Blocks</t>
  </si>
  <si>
    <t>YellowPages UAE profile | mobile | https://www.yellowpages-uae.com/aac-block-191698</t>
  </si>
  <si>
    <t>AAC Arc Architects Engineering Consultancy</t>
  </si>
  <si>
    <t>YellowPages UAE profile | landline_or_tollfree | https://www.yellowpages-uae.com/aac-arc-architects-engineering-consultancy-178216</t>
  </si>
  <si>
    <t>YellowPages UAE profile | mobile | https://www.yellowpages-uae.com/aac-arc-architects-engineering-consultancy-178216</t>
  </si>
  <si>
    <t>AAC ARC Engineering Consultant</t>
  </si>
  <si>
    <t>YellowPages UAE profile | landline_or_tollfree | https://www.yellowpages-uae.com/aac-architects-engineering-consultancy-169124</t>
  </si>
  <si>
    <t>AAC Global</t>
  </si>
  <si>
    <t>YellowPages UAE profile | mobile | https://www.yellowpages-uae.com/aac-global-178530</t>
  </si>
  <si>
    <t>AACME Electromechanical Equipment Installation LLC</t>
  </si>
  <si>
    <t>YellowPages UAE profile | landline_or_tollfree | https://www.yellowpages-uae.com/aacme-electromechanical-equipment-installation-llc-184658</t>
  </si>
  <si>
    <t>YellowPages UAE profile | mobile | https://www.yellowpages-uae.com/aacme-electromechanical-equipment-installation-llc-184658</t>
  </si>
  <si>
    <t>Aadarsh Food Stuff Trading Llc</t>
  </si>
  <si>
    <t>YellowPages UAE profile | mobile | https://www.yellowpages-uae.com/aadarsh-food-stuff-trading-llc-183464</t>
  </si>
  <si>
    <t>Aafaq Islamic Finance Company</t>
  </si>
  <si>
    <t>YellowPages UAE profile | landline_or_tollfree | https://www.yellowpages-uae.com/aafaq-islamic-finance-company-169833</t>
  </si>
  <si>
    <t>AAGT International LLC</t>
  </si>
  <si>
    <t>YellowPages UAE profile | landline_or_tollfree | https://www.yellowpages-uae.com/aagt-international-llc-119491</t>
  </si>
  <si>
    <t>Aajel Tourism LLC</t>
  </si>
  <si>
    <t>YellowPages UAE profile | landline_or_tollfree | https://www.yellowpages-uae.com/aajel-tourism-llc-167827</t>
  </si>
  <si>
    <t>YellowPages UAE profile | landline_or_tollfree | https://www.yellowpages-uae.com/aajel-tourism-llc-159718</t>
  </si>
  <si>
    <t>YellowPages UAE profile | mobile | https://www.yellowpages-uae.com/aajel-tourism-llc-159718</t>
  </si>
  <si>
    <t>Aal Jaafar Trading Company LLC</t>
  </si>
  <si>
    <t>YellowPages UAE profile | landline_or_tollfree | https://www.yellowpages-uae.com/aal-jaafar-trading-company-llc-112700</t>
  </si>
  <si>
    <t>Aala Metal Products Factory LLC</t>
  </si>
  <si>
    <t>YellowPages UAE profile | landline_or_tollfree | https://www.yellowpages-uae.com/aala-metal-products-factory-llc-117870</t>
  </si>
  <si>
    <t>Aalam Al Fatayer</t>
  </si>
  <si>
    <t>YellowPages UAE profile | landline_or_tollfree | https://www.yellowpages-uae.com/aalam-al-fatayer-174042</t>
  </si>
  <si>
    <t>Aalam Al Khyoot Trading Company LLC</t>
  </si>
  <si>
    <t>YellowPages UAE profile | landline_or_tollfree | https://www.yellowpages-uae.com/aalam-al-khyoot-trading-company-llc-123471</t>
  </si>
  <si>
    <t>AAli Bus Rental</t>
  </si>
  <si>
    <t>YellowPages UAE profile | mobile | https://www.yellowpages-uae.com/aali-passengers-transport-buses-rental-llc-169820</t>
  </si>
  <si>
    <t>Aali Qadr mufaddal bldg Mtr trdg llc</t>
  </si>
  <si>
    <t>YellowPages UAE profile | landline_or_tollfree | https://www.yellowpages-uae.com/aali-qadr-mufaddal-bldg-mtr-trdg-llc-182111</t>
  </si>
  <si>
    <t>Aalishan Trdg Co LLC</t>
  </si>
  <si>
    <t>YellowPages UAE profile | landline_or_tollfree | https://www.yellowpages-uae.com/aalishan-trdg-co-llc-148658</t>
  </si>
  <si>
    <t>YellowPages UAE profile | mobile | https://www.yellowpages-uae.com/aalishan-trdg-co-llc-148658</t>
  </si>
  <si>
    <t>Aaliya Plaza</t>
  </si>
  <si>
    <t>YellowPages UAE profile | landline_or_tollfree | https://www.yellowpages-uae.com/aaliya-plaza-127774</t>
  </si>
  <si>
    <t>Aamir Aziz Fruits And Vegetables Trading LLC</t>
  </si>
  <si>
    <t>YellowPages UAE profile | mobile | https://www.yellowpages-uae.com/aamir-aziz-fruits-and-vegetables-trading-llc-178963</t>
  </si>
  <si>
    <t>Aande Garage Doors</t>
  </si>
  <si>
    <t>YellowPages UAE profile | mobile | https://www.yellowpages-uae.com/aande-garage-doors-180243</t>
  </si>
  <si>
    <t>Aandt Technical Services</t>
  </si>
  <si>
    <t>YellowPages UAE profile | landline_or_tollfree | https://www.yellowpages-uae.com/aandt-technical-services-183507</t>
  </si>
  <si>
    <t>Aangan Restaurant</t>
  </si>
  <si>
    <t>YellowPages UAE profile | landline_or_tollfree | https://www.yellowpages-uae.com/aangan-restaurant-175630</t>
  </si>
  <si>
    <t>Aansh Elect Trdg LLC</t>
  </si>
  <si>
    <t>YellowPages UAE profile | landline_or_tollfree | https://www.yellowpages-uae.com/aansh-elect-trdg-llc-146871</t>
  </si>
  <si>
    <t>Aappa Kadai</t>
  </si>
  <si>
    <t>YellowPages UAE profile | landline_or_tollfree | https://www.yellowpages-uae.com/aappa-kadai-174515</t>
  </si>
  <si>
    <t>YellowPages UAE profile | landline_or_tollfree | https://www.yellowpages-uae.com/aappa-kadai-174516</t>
  </si>
  <si>
    <t>AAQ Technical Services LLC</t>
  </si>
  <si>
    <t>YellowPages UAE profile | landline_or_tollfree | https://www.yellowpages-uae.com/aaq-technical-services-llc-144460</t>
  </si>
  <si>
    <t>YellowPages UAE profile | mobile | https://www.yellowpages-uae.com/aaq-technical-services-llc-144460</t>
  </si>
  <si>
    <t>Aaraamam Restaurant</t>
  </si>
  <si>
    <t>YellowPages UAE profile | landline_or_tollfree | https://www.yellowpages-uae.com/aaraamam-restaurant-131428</t>
  </si>
  <si>
    <t>Aaras Diam DMCC</t>
  </si>
  <si>
    <t>YellowPages UAE profile | landline_or_tollfree | https://www.yellowpages-uae.com/aaras-diam-dmcc-140218</t>
  </si>
  <si>
    <t>Aarax Foods Company LLC</t>
  </si>
  <si>
    <t>YellowPages UAE profile | landline_or_tollfree | https://www.yellowpages-uae.com/aarax-foods-company-llc-132097</t>
  </si>
  <si>
    <t>Aariz Computer Trading LLC</t>
  </si>
  <si>
    <t>YellowPages UAE profile | mobile | https://www.yellowpages-uae.com/aariz-computer-trading-llc-190558</t>
  </si>
  <si>
    <t>Aarmak Auditing &amp; Consulting</t>
  </si>
  <si>
    <t>YellowPages UAE profile | landline_or_tollfree | https://www.yellowpages-uae.com/aarmak-auditing-consulting-143430</t>
  </si>
  <si>
    <t>YellowPages UAE profile | mobile | https://www.yellowpages-uae.com/aarmak-auditing-consulting-143430</t>
  </si>
  <si>
    <t>Aarmak Auditing and Consulting</t>
  </si>
  <si>
    <t>YellowPages UAE profile | landline_or_tollfree | https://www.yellowpages-uae.com/aarmak-auditing-and-consulting-169834</t>
  </si>
  <si>
    <t>Aarmax Media</t>
  </si>
  <si>
    <t>YellowPages UAE profile | mobile | https://www.yellowpages-uae.com/aarmax-media-192577</t>
  </si>
  <si>
    <t>Aarogyashala Advanced Ayurveda Medical Center</t>
  </si>
  <si>
    <t>YellowPages UAE profile | mobile | https://www.yellowpages-uae.com/aarogyashala-advanced-ayurveda-medical-center-192930</t>
  </si>
  <si>
    <t>AARRC Accounting &amp; Consultancy LLC</t>
  </si>
  <si>
    <t>YellowPages UAE profile | mobile | https://www.yellowpages-uae.com/aarrc-accounting-consultancy-llc-185138</t>
  </si>
  <si>
    <t>Aartex Trading LLC</t>
  </si>
  <si>
    <t>YellowPages UAE profile | landline_or_tollfree | https://www.yellowpages-uae.com/aartex-trading-llc-157867</t>
  </si>
  <si>
    <t>Aarvees Realty</t>
  </si>
  <si>
    <t>YellowPages UAE profile | landline_or_tollfree | https://www.yellowpages-uae.com/aarvees-realty-163908</t>
  </si>
  <si>
    <t>Aarvi Elec Trdg LLC</t>
  </si>
  <si>
    <t>YellowPages UAE profile | landline_or_tollfree | https://www.yellowpages-uae.com/aarvi-elec-trdg-llc-160684</t>
  </si>
  <si>
    <t>Aarya Auto Repairs LLC</t>
  </si>
  <si>
    <t>YellowPages UAE profile | landline_or_tollfree | https://www.yellowpages-uae.com/aarya-auto-repairs-llc-160763</t>
  </si>
  <si>
    <t>YellowPages UAE profile | mobile | https://www.yellowpages-uae.com/aarya-auto-repairs-llc-160763</t>
  </si>
  <si>
    <t>Aarzee Jewellery</t>
  </si>
  <si>
    <t>YellowPages UAE profile | landline_or_tollfree | https://www.yellowpages-uae.com/aarzee-jewellery-146958</t>
  </si>
  <si>
    <t>Aasa Middle East Contg Company LLC</t>
  </si>
  <si>
    <t>YellowPages UAE profile | landline_or_tollfree | https://www.yellowpages-uae.com/aasa-middle-east-contg-company-llc-135683</t>
  </si>
  <si>
    <t>Aat Services LLC</t>
  </si>
  <si>
    <t>YellowPages UAE profile | landline_or_tollfree | https://www.yellowpages-uae.com/aat-services-llc-191925</t>
  </si>
  <si>
    <t>YellowPages UAE profile | mobile | https://www.yellowpages-uae.com/aat-services-llc-191925</t>
  </si>
  <si>
    <t>AATCO General Trading LLC</t>
  </si>
  <si>
    <t>YellowPages UAE profile | landline_or_tollfree | https://www.yellowpages-uae.com/aatco-general-trading-llc-158850</t>
  </si>
  <si>
    <t>YellowPages UAE profile | mobile | https://www.yellowpages-uae.com/aatco-general-trading-llc-158850</t>
  </si>
  <si>
    <t>Aati</t>
  </si>
  <si>
    <t>YellowPages UAE profile | landline_or_tollfree | https://www.yellowpages-uae.com/aati-118001</t>
  </si>
  <si>
    <t>Aati Contracts</t>
  </si>
  <si>
    <t>YellowPages UAE profile | landline_or_tollfree | https://www.yellowpages-uae.com/aati-contracts-114301</t>
  </si>
  <si>
    <t>Aatish Jewels LLC</t>
  </si>
  <si>
    <t>YellowPages UAE profile | landline_or_tollfree | https://www.yellowpages-uae.com/aatish-jewels-llc-117584</t>
  </si>
  <si>
    <t>Aats</t>
  </si>
  <si>
    <t>YellowPages UAE profile | landline_or_tollfree | https://www.yellowpages-uae.com/aats-183520</t>
  </si>
  <si>
    <t>YellowPages UAE profile | mobile | https://www.yellowpages-uae.com/aats-183520</t>
  </si>
  <si>
    <t>Aazer Security Equipment LLC</t>
  </si>
  <si>
    <t>YellowPages UAE profile | landline_or_tollfree | https://www.yellowpages-uae.com/aazer-security-equipment-llc-184589</t>
  </si>
  <si>
    <t>YellowPages UAE profile | mobile | https://www.yellowpages-uae.com/aazer-security-equipment-llc-184589</t>
  </si>
  <si>
    <t>AB Capital Services</t>
  </si>
  <si>
    <t>YellowPages UAE profile | mobile | https://www.yellowpages-uae.com/ab-capital-services-193000</t>
  </si>
  <si>
    <t>Ab Dab Electronics Exchange</t>
  </si>
  <si>
    <t>YellowPages UAE profile | mobile | https://www.yellowpages-uae.com/ab-dab-electronics-exchange-179696</t>
  </si>
  <si>
    <t>AB Fitness</t>
  </si>
  <si>
    <t>YellowPages UAE profile | mobile | https://www.yellowpages-uae.com/ab-fitness-193438</t>
  </si>
  <si>
    <t>Ab Group</t>
  </si>
  <si>
    <t>YellowPages UAE profile | landline_or_tollfree | https://www.yellowpages-uae.com/ab-group-137393</t>
  </si>
  <si>
    <t>AB Mixology Hospitality Services LLC</t>
  </si>
  <si>
    <t>YellowPages UAE profile | mobile | https://www.yellowpages-uae.com/ab-mixology-hospitality-services-llc-188542</t>
  </si>
  <si>
    <t>AB Print House LLC</t>
  </si>
  <si>
    <t>YellowPages UAE profile | landline_or_tollfree | https://www.yellowpages-uae.com/ab-print-house-llc-188408</t>
  </si>
  <si>
    <t>YellowPages UAE profile | mobile | https://www.yellowpages-uae.com/ab-print-house-llc-188408</t>
  </si>
  <si>
    <t>AB's Absolute Barbecues</t>
  </si>
  <si>
    <t>YellowPages UAE profile | landline_or_tollfree | https://www.yellowpages-uae.com/ab-s-absolute-barbecues-174883</t>
  </si>
  <si>
    <t>ABA Center For Special Needs</t>
  </si>
  <si>
    <t>YellowPages UAE profile | landline_or_tollfree | https://www.yellowpages-uae.com/aba-center-for-special-needs-178899</t>
  </si>
  <si>
    <t>Ababeel Household Trading LLC</t>
  </si>
  <si>
    <t>YellowPages UAE profile | landline_or_tollfree | https://www.yellowpages-uae.com/ababeel-household-trading-llc-162875</t>
  </si>
  <si>
    <t>Ababil Metal Processing LLC</t>
  </si>
  <si>
    <t>YellowPages UAE profile | mobile | https://www.yellowpages-uae.com/ababil-metal-processing-llc-184834</t>
  </si>
  <si>
    <t>Abacas International Technical Works LLC</t>
  </si>
  <si>
    <t>YellowPages UAE profile | landline_or_tollfree | https://www.yellowpages-uae.com/abacas-international-technical-works-llc-162083</t>
  </si>
  <si>
    <t>Abacus Audio Visual LLC</t>
  </si>
  <si>
    <t>YellowPages UAE profile | landline_or_tollfree | https://www.yellowpages-uae.com/abacus-audio-visual-llc-161086</t>
  </si>
  <si>
    <t>Abacus Legal Consultants</t>
  </si>
  <si>
    <t>YellowPages UAE profile | landline_or_tollfree | https://www.yellowpages-uae.com/abacus-legal-consultants-170102</t>
  </si>
  <si>
    <t>YellowPages UAE profile | mobile | https://www.yellowpages-uae.com/abacus-legal-consultants-170102</t>
  </si>
  <si>
    <t>Abacus Quest Point</t>
  </si>
  <si>
    <t>YellowPages UAE profile | landline_or_tollfree | https://www.yellowpages-uae.com/abacus-quest-point-124781</t>
  </si>
  <si>
    <t>Abad Builders Private Limited Repair Office</t>
  </si>
  <si>
    <t>YellowPages UAE profile | landline_or_tollfree | https://www.yellowpages-uae.com/abad-builders-private-limited-repair-office-172365</t>
  </si>
  <si>
    <t>Abad Pal Seafood Intl LLC</t>
  </si>
  <si>
    <t>YellowPages UAE profile | landline_or_tollfree | https://www.yellowpages-uae.com/abad-pal-seafood-intl-llc-156579</t>
  </si>
  <si>
    <t>Abaj Cont LLC</t>
  </si>
  <si>
    <t>YellowPages UAE profile | landline_or_tollfree | https://www.yellowpages-uae.com/abaj-cont-llc-161352</t>
  </si>
  <si>
    <t>Abajour Technical Services LLC</t>
  </si>
  <si>
    <t>YellowPages UAE profile | landline_or_tollfree | https://www.yellowpages-uae.com/abajour-technical-services-llc-162471</t>
  </si>
  <si>
    <t>Abalone General Trading LLC</t>
  </si>
  <si>
    <t>YellowPages UAE profile | landline_or_tollfree | https://www.yellowpages-uae.com/abalone-general-trading-llc-185171</t>
  </si>
  <si>
    <t>YellowPages UAE profile | mobile | https://www.yellowpages-uae.com/abalone-general-trading-llc-185171</t>
  </si>
  <si>
    <t>Aban Air</t>
  </si>
  <si>
    <t>YellowPages UAE profile | landline_or_tollfree | https://www.yellowpages-uae.com/aban-air-131180</t>
  </si>
  <si>
    <t>Aban Investment</t>
  </si>
  <si>
    <t>YellowPages UAE profile | landline_or_tollfree | https://www.yellowpages-uae.com/aban-investment-162118</t>
  </si>
  <si>
    <t>Abaq Al Yasmin Wall Painting Services</t>
  </si>
  <si>
    <t>YellowPages UAE profile | mobile | https://www.yellowpages-uae.com/abaq-al-yasmin-wall-painting-services-182987</t>
  </si>
  <si>
    <t>Abasco Tools Trading LLC</t>
  </si>
  <si>
    <t>YellowPages UAE profile | landline_or_tollfree | https://www.yellowpages-uae.com/abasco-tools-trading-llc-181018</t>
  </si>
  <si>
    <t>YellowPages UAE profile | mobile | https://www.yellowpages-uae.com/abasco-tools-trading-llc-181018</t>
  </si>
  <si>
    <t>Abatera Real Estate Brokers</t>
  </si>
  <si>
    <t>YellowPages UAE profile | landline_or_tollfree | https://www.yellowpages-uae.com/abatera-real-estate-brokers-172366</t>
  </si>
  <si>
    <t>Abatera Tourism LLC</t>
  </si>
  <si>
    <t>YellowPages UAE profile | landline_or_tollfree | https://www.yellowpages-uae.com/abatera-tourism-llc-157409</t>
  </si>
  <si>
    <t>Abatjour Bistro</t>
  </si>
  <si>
    <t>YellowPages UAE profile | landline_or_tollfree | https://www.yellowpages-uae.com/abatjour-bistro-174184</t>
  </si>
  <si>
    <t>Abaya Mall</t>
  </si>
  <si>
    <t>YellowPages UAE profile | landline_or_tollfree | https://www.yellowpages-uae.com/abaya-mall-169200</t>
  </si>
  <si>
    <t>Abaya Mart</t>
  </si>
  <si>
    <t>YellowPages UAE profile | mobile | https://www.yellowpages-uae.com/abaya-mart-187635</t>
  </si>
  <si>
    <t>Abaysan Kitchen Equipments LLC</t>
  </si>
  <si>
    <t>YellowPages UAE profile | landline_or_tollfree | https://www.yellowpages-uae.com/abaysan-kitchen-equipments-llc-146415</t>
  </si>
  <si>
    <t>Abazar Building Materials LLC</t>
  </si>
  <si>
    <t>YellowPages UAE profile | landline_or_tollfree | https://www.yellowpages-uae.com/abazar-building-materials-llc-169377</t>
  </si>
  <si>
    <t>Abazar Interiors</t>
  </si>
  <si>
    <t>YellowPages UAE profile | landline_or_tollfree | https://www.yellowpages-uae.com/abazar-technical-workshop-179707</t>
  </si>
  <si>
    <t>YellowPages UAE profile | mobile | https://www.yellowpages-uae.com/abazar-technical-workshop-179707</t>
  </si>
  <si>
    <t>Abazar Shelving</t>
  </si>
  <si>
    <t>YellowPages UAE profile | landline_or_tollfree | https://www.yellowpages-uae.com/abazar-shelving-169052</t>
  </si>
  <si>
    <t>YellowPages UAE profile | mobile | https://www.yellowpages-uae.com/abazar-shelving-169052</t>
  </si>
  <si>
    <t>Abazar Trading LLC</t>
  </si>
  <si>
    <t>YellowPages UAE profile | landline_or_tollfree | https://www.yellowpages-uae.com/abazar-trading-llc-110184</t>
  </si>
  <si>
    <t>ABB Industries LLC</t>
  </si>
  <si>
    <t>YellowPages UAE profile | landline_or_tollfree | https://www.yellowpages-uae.com/abb-industries-llc-113741</t>
  </si>
  <si>
    <t>YellowPages UAE profile | mobile | https://www.yellowpages-uae.com/abb-industries-llc-113741</t>
  </si>
  <si>
    <t>YellowPages UAE profile | landline_or_tollfree | https://www.yellowpages-uae.com/abba-electronics-llc-110022</t>
  </si>
  <si>
    <t>Abba Fashions</t>
  </si>
  <si>
    <t>YellowPages UAE profile | landline_or_tollfree | https://www.yellowpages-uae.com/abba-fashions-144297</t>
  </si>
  <si>
    <t>Abbadi Technical Services</t>
  </si>
  <si>
    <t>YellowPages UAE profile | landline_or_tollfree | https://www.yellowpages-uae.com/abbadi-technical-services-180269</t>
  </si>
  <si>
    <t>YellowPages UAE profile | mobile | https://www.yellowpages-uae.com/abbadi-technical-services-180269</t>
  </si>
  <si>
    <t>Abbara Polyclinic</t>
  </si>
  <si>
    <t>YellowPages UAE profile | landline_or_tollfree | https://www.yellowpages-uae.com/abbara-polyclinic-156241</t>
  </si>
  <si>
    <t>Abbarco General Transport</t>
  </si>
  <si>
    <t>YellowPages UAE profile | landline_or_tollfree | https://www.yellowpages-uae.com/abbarco-general-transport-120142</t>
  </si>
  <si>
    <t>Abbas Al Hawai Advocates and Legal Consultants</t>
  </si>
  <si>
    <t>YellowPages UAE profile | landline_or_tollfree | https://www.yellowpages-uae.com/abbas-al-hawai-advocates-and-legal-consultants-120168</t>
  </si>
  <si>
    <t>Abbas Bhai and Sons LLC</t>
  </si>
  <si>
    <t>YellowPages UAE profile | landline_or_tollfree | https://www.yellowpages-uae.com/abbas-bhai-and-sons-llc-128228</t>
  </si>
  <si>
    <t>Abbas Bin Haider General Trading LLC</t>
  </si>
  <si>
    <t>YellowPages UAE profile | landline_or_tollfree | https://www.yellowpages-uae.com/abbas-bin-haider-general-trading-llc-111110</t>
  </si>
  <si>
    <t>Abbas Hossain Grocery</t>
  </si>
  <si>
    <t>YellowPages UAE profile | landline_or_tollfree | https://www.yellowpages-uae.com/abbas-hossain-grocery-165684</t>
  </si>
  <si>
    <t>Abbas Juma Clearing and Forwarding LLC</t>
  </si>
  <si>
    <t>YellowPages UAE profile | landline_or_tollfree | https://www.yellowpages-uae.com/abbas-jum-clearing-and-forwarding-llc-152920</t>
  </si>
  <si>
    <t>YellowPages UAE profile | mobile | https://www.yellowpages-uae.com/abbas-jum-clearing-and-forwarding-llc-152920</t>
  </si>
  <si>
    <t>Abbas Juma Ibrahim Building Maintenance LLC</t>
  </si>
  <si>
    <t>YellowPages UAE profile | landline_or_tollfree | https://www.yellowpages-uae.com/abbas-juma-ibrahim-building-maintenance-llc-116738</t>
  </si>
  <si>
    <t>Abbas Liaqat Trdg LLC</t>
  </si>
  <si>
    <t>YellowPages UAE profile | landline_or_tollfree | https://www.yellowpages-uae.com/abbas-liaqat-trdg-llc-161465</t>
  </si>
  <si>
    <t>Abbas Mohamed Engg Services Factory</t>
  </si>
  <si>
    <t>YellowPages UAE profile | landline_or_tollfree | https://www.yellowpages-uae.com/abbas-mohamed-engg-services-factory-156826</t>
  </si>
  <si>
    <t>Abbas Mohiman Technical Workshop</t>
  </si>
  <si>
    <t>YellowPages UAE profile | landline_or_tollfree | https://www.yellowpages-uae.com/abbas-mohiman-technical-workshop-128415</t>
  </si>
  <si>
    <t>Abbas Namat Trading LLC</t>
  </si>
  <si>
    <t>YellowPages UAE profile | landline_or_tollfree | https://www.yellowpages-uae.com/abbas-namat-trading-llc-119701</t>
  </si>
  <si>
    <t>Abbas Rostom Building Material Trading LLC</t>
  </si>
  <si>
    <t>YellowPages UAE profile | landline_or_tollfree | https://www.yellowpages-uae.com/abbas-rostom-building-material-trading-llc-137790</t>
  </si>
  <si>
    <t>Abbas Steel Tank Factory LLC</t>
  </si>
  <si>
    <t>YellowPages UAE profile | landline_or_tollfree | https://www.yellowpages-uae.com/abbas-steel-tank-factory-llc-114984</t>
  </si>
  <si>
    <t>YellowPages UAE profile | mobile | https://www.yellowpages-uae.com/abbas-steel-tank-factory-llc-114984</t>
  </si>
  <si>
    <t>Abbas Tempering Industry LLC</t>
  </si>
  <si>
    <t>YellowPages UAE profile | landline_or_tollfree | https://www.yellowpages-uae.com/abbas-tempering-industry-llc-180287</t>
  </si>
  <si>
    <t>Abbas Yousuf Trading LLC</t>
  </si>
  <si>
    <t>YellowPages UAE profile | landline_or_tollfree | https://www.yellowpages-uae.com/abbas-yousuf-trading-llc-112466</t>
  </si>
  <si>
    <t>YellowPages UAE profile | mobile | https://www.yellowpages-uae.com/abbas-yousuf-trading-llc-112466</t>
  </si>
  <si>
    <t>Abbasbhai Zainuddin and Bros</t>
  </si>
  <si>
    <t>YellowPages UAE profile | landline_or_tollfree | https://www.yellowpages-uae.com/abbasbhai-zainuddin-and-bros-112997</t>
  </si>
  <si>
    <t>Abbeycroft General Trading LLC</t>
  </si>
  <si>
    <t>YellowPages UAE profile | landline_or_tollfree | https://www.yellowpages-uae.com/abbeycroft-general-trading-llc-170440</t>
  </si>
  <si>
    <t>Abbm Facilities Management</t>
  </si>
  <si>
    <t>YellowPages UAE profile | mobile | https://www.yellowpages-uae.com/abbm-facilities-management-183947</t>
  </si>
  <si>
    <t>ABBM Facility Management</t>
  </si>
  <si>
    <t>YellowPages UAE profile | landline_or_tollfree | https://www.yellowpages-uae.com/abbm-facility-management-180172</t>
  </si>
  <si>
    <t>Abbrevia FZ LLC</t>
  </si>
  <si>
    <t>YellowPages UAE profile | landline_or_tollfree | https://www.yellowpages-uae.com/abbrevia-fz-llc-115482</t>
  </si>
  <si>
    <t>ABBU Technical Services</t>
  </si>
  <si>
    <t>YellowPages UAE profile | mobile | https://www.yellowpages-uae.com/abbu-technical-services-177767</t>
  </si>
  <si>
    <t>Abbys Real Estate</t>
  </si>
  <si>
    <t>YellowPages UAE profile | landline_or_tollfree | https://www.yellowpages-uae.com/abbys-real-estate-172367</t>
  </si>
  <si>
    <t>ABC Cargo And Courier LLC</t>
  </si>
  <si>
    <t>YellowPages UAE profile | landline_or_tollfree | https://www.yellowpages-uae.com/abc-cargo-and-courier-llc-170103</t>
  </si>
  <si>
    <t>YellowPages UAE profile | mobile | https://www.yellowpages-uae.com/abc-cargo-and-courier-llc-170103</t>
  </si>
  <si>
    <t>Abc Cargo Courier Llc</t>
  </si>
  <si>
    <t>YellowPages UAE profile | landline_or_tollfree | https://www.yellowpages-uae.com/abc-cargo-courier-llc-183466</t>
  </si>
  <si>
    <t>YellowPages UAE profile | mobile | https://www.yellowpages-uae.com/abc-cargo-courier-llc-183466</t>
  </si>
  <si>
    <t>ABC Imaging FZ LLC</t>
  </si>
  <si>
    <t>YellowPages UAE profile | landline_or_tollfree | https://www.yellowpages-uae.com/abc-imaging-fz-llc-139699</t>
  </si>
  <si>
    <t>Abc LLC</t>
  </si>
  <si>
    <t>YellowPages UAE profile | mobile | https://www.yellowpages-uae.com/abc-llc-169614</t>
  </si>
  <si>
    <t>ABC Project Cont LLC</t>
  </si>
  <si>
    <t>YellowPages UAE profile | landline_or_tollfree | https://www.yellowpages-uae.com/abc-project-cont-llc-135456</t>
  </si>
  <si>
    <t>ABC Silk Trading LLC</t>
  </si>
  <si>
    <t>YellowPages UAE profile | landline_or_tollfree | https://www.yellowpages-uae.com/abc-silk-trading-llc-165020</t>
  </si>
  <si>
    <t>ABC Sportfields LLC</t>
  </si>
  <si>
    <t>YellowPages UAE profile | mobile | https://www.yellowpages-uae.com/abc-sportfields-llc-187327</t>
  </si>
  <si>
    <t>ABC Surveys</t>
  </si>
  <si>
    <t>YellowPages UAE profile | mobile | https://www.yellowpages-uae.com/abc-surveys-153784</t>
  </si>
  <si>
    <t>Abco International Shipping &amp; Logistics DMCC</t>
  </si>
  <si>
    <t>YellowPages UAE profile | landline_or_tollfree | https://www.yellowpages-uae.com/abco-international-shipping-logistics-dmcc-178020</t>
  </si>
  <si>
    <t>Abco Uniform</t>
  </si>
  <si>
    <t>YellowPages UAE profile | landline_or_tollfree | https://www.yellowpages-uae.com/abco-uniform-180519</t>
  </si>
  <si>
    <t>YellowPages UAE profile | mobile | https://www.yellowpages-uae.com/abco-uniform-180519</t>
  </si>
  <si>
    <t>Abcom Distribution LLC</t>
  </si>
  <si>
    <t>YellowPages UAE profile | landline_or_tollfree | https://www.yellowpages-uae.com/abcom-solutions-llc-153452</t>
  </si>
  <si>
    <t>Abcom Office Supplies LLC</t>
  </si>
  <si>
    <t>YellowPages UAE profile | landline_or_tollfree | https://www.yellowpages-uae.com/abcom-office-supplies-llc-134269</t>
  </si>
  <si>
    <t>YellowPages UAE profile | mobile | https://www.yellowpages-uae.com/abcom-office-supplies-llc-134269</t>
  </si>
  <si>
    <t>Abcomm Security and Surveillance</t>
  </si>
  <si>
    <t>YellowPages UAE profile | landline_or_tollfree | https://www.yellowpages-uae.com/abcomm-security-and-surveillance-169534</t>
  </si>
  <si>
    <t>YellowPages UAE profile | mobile | https://www.yellowpages-uae.com/abcomm-security-and-surveillance-169534</t>
  </si>
  <si>
    <t>Abcon Branding</t>
  </si>
  <si>
    <t>YellowPages UAE profile | mobile | https://www.yellowpages-uae.com/abcon-branding-192632</t>
  </si>
  <si>
    <t>Abcon Safety Consultancy LLC</t>
  </si>
  <si>
    <t>YellowPages UAE profile | landline_or_tollfree | https://www.yellowpages-uae.com/abcon-safety-consultancy-llc-192417</t>
  </si>
  <si>
    <t>YellowPages UAE profile | mobile | https://www.yellowpages-uae.com/abcon-safety-consultancy-llc-192417</t>
  </si>
  <si>
    <t>Abdali Trading Co LLC</t>
  </si>
  <si>
    <t>YellowPages UAE profile | landline_or_tollfree | https://www.yellowpages-uae.com/abdali-trading-co-llc-165022</t>
  </si>
  <si>
    <t>Abdalla Al Nakhi Advocates &amp; Legal Consultants</t>
  </si>
  <si>
    <t>YellowPages UAE profile | landline_or_tollfree | https://www.yellowpages-uae.com/abdalla-al-nakhi-advocates-legal-consultants-157968</t>
  </si>
  <si>
    <t>Abdel Meneim Auto Spare Parts Trading</t>
  </si>
  <si>
    <t>YellowPages UAE profile | landline_or_tollfree | https://www.yellowpages-uae.com/abdel-meneim-auto-spare-parts-trading-156012</t>
  </si>
  <si>
    <t>Abdel Wahab</t>
  </si>
  <si>
    <t>YellowPages UAE profile | landline_or_tollfree | https://www.yellowpages-uae.com/abdel-wahab-156464</t>
  </si>
  <si>
    <t>Abdelhadi Engineering and Contg Company LLC</t>
  </si>
  <si>
    <t>YellowPages UAE profile | landline_or_tollfree | https://www.yellowpages-uae.com/abdelhadi-engineering-and-contg-company-llc-110415</t>
  </si>
  <si>
    <t>Abdo Othman Trading Company LLC</t>
  </si>
  <si>
    <t>YellowPages UAE profile | landline_or_tollfree | https://www.yellowpages-uae.com/abdo-othman-trading-company-llc-128959</t>
  </si>
  <si>
    <t>Abdollah Mohd Ali Ansari Lari General Trading Company LLC</t>
  </si>
  <si>
    <t>YellowPages UAE profile | landline_or_tollfree | https://www.yellowpages-uae.com/abdollah-mohd-ali-ansari-lari-general-trading-company-llc-120173</t>
  </si>
  <si>
    <t>Abdolute Events</t>
  </si>
  <si>
    <t>YellowPages UAE profile | mobile | https://www.yellowpages-uae.com/abdolute-events-158938</t>
  </si>
  <si>
    <t>ABDOS Lamitubes Manufacturing LLC</t>
  </si>
  <si>
    <t>YellowPages UAE profile | mobile | https://www.yellowpages-uae.com/abdos-lamitubes-manufacturing-llc-185953</t>
  </si>
  <si>
    <t>Abdu IM General Trading LLC</t>
  </si>
  <si>
    <t>YellowPages UAE profile | landline_or_tollfree | https://www.yellowpages-uae.com/abdu-im-general-trading-llc-56393</t>
  </si>
  <si>
    <t>Abdul Ameer Building Material Trading LLC</t>
  </si>
  <si>
    <t>YellowPages UAE profile | landline_or_tollfree | https://www.yellowpages-uae.com/abdul-ameer-building-material-trading-llc-41658</t>
  </si>
  <si>
    <t>Abdul Aziz Alimuddin Factory LLC</t>
  </si>
  <si>
    <t>YellowPages UAE profile | landline_or_tollfree | https://www.yellowpages-uae.com/abdul-aziz-alimuddin-factory-llc-153066</t>
  </si>
  <si>
    <t>Abdul Aziz Amrulla General Trading</t>
  </si>
  <si>
    <t>YellowPages UAE profile | landline_or_tollfree | https://www.yellowpages-uae.com/abdul-aziz-amrulla-general-trading-119946</t>
  </si>
  <si>
    <t>Abdul Aziz Essa Building Material</t>
  </si>
  <si>
    <t>YellowPages UAE profile | landline_or_tollfree | https://www.yellowpages-uae.com/abdul-aziz-essa-building-material-118892</t>
  </si>
  <si>
    <t>Abdul Aziz Essa Contracting LLC</t>
  </si>
  <si>
    <t>YellowPages UAE profile | landline_or_tollfree | https://www.yellowpages-uae.com/abdul-aziz-essa-contracting-llc-156577</t>
  </si>
  <si>
    <t>Abdul Aziz Jassem Textiles LLC</t>
  </si>
  <si>
    <t>YellowPages UAE profile | landline_or_tollfree | https://www.yellowpages-uae.com/abdul-aziz-jassem-textiles-llc-137981</t>
  </si>
  <si>
    <t>Abdul Aziz Mohd Al Faqihi Trading Company LLC</t>
  </si>
  <si>
    <t>YellowPages UAE profile | landline_or_tollfree | https://www.yellowpages-uae.com/abdul-aziz-mohd-al-faqihi-trading-company-llc-120850</t>
  </si>
  <si>
    <t>Abdul Aziz Seddiq Awazi Trading Establishment</t>
  </si>
  <si>
    <t>YellowPages UAE profile | landline_or_tollfree | https://www.yellowpages-uae.com/abdul-aziz-seddiq-awazi-trading-establishment-120287</t>
  </si>
  <si>
    <t>Abdul Basit Cafeteria</t>
  </si>
  <si>
    <t>YellowPages UAE profile | landline_or_tollfree | https://www.yellowpages-uae.com/abdul-basit-cafeteria-119900</t>
  </si>
  <si>
    <t>Abdul Fatah Marzooqi Trading Co LLC</t>
  </si>
  <si>
    <t>YellowPages UAE profile | landline_or_tollfree | https://www.yellowpages-uae.com/abdul-fatah-marzooqi-trading-co-llc-187037</t>
  </si>
  <si>
    <t>YellowPages UAE profile | mobile | https://www.yellowpages-uae.com/abdul-fatah-marzooqi-trading-co-llc-187037</t>
  </si>
  <si>
    <t>Abdul Gafoor &amp; Alam Khan Heavy &amp; Light Truck Transport LLC</t>
  </si>
  <si>
    <t>YellowPages UAE profile | landline_or_tollfree | https://www.yellowpages-uae.com/abdul-gafoor-alam-khan-heavy-light-truck-transport-llc-176526</t>
  </si>
  <si>
    <t>YellowPages UAE profile | mobile | https://www.yellowpages-uae.com/abdul-gafoor-alam-khan-heavy-light-truck-transport-llc-176526</t>
  </si>
  <si>
    <t>Abdul Ghafoor Niazdin Marine Engineering LLC</t>
  </si>
  <si>
    <t>YellowPages UAE profile | landline_or_tollfree | https://www.yellowpages-uae.com/abdul-ghafoor-niazdin-marine-engineering-llc-159033</t>
  </si>
  <si>
    <t>Abdul Ghafoor Yousuf Paper Boxes Mfg LLC</t>
  </si>
  <si>
    <t>YellowPages UAE profile | landline_or_tollfree | https://www.yellowpages-uae.com/abdul-ghafoor-yousuf-paper-boxes-mfg-llc-160994</t>
  </si>
  <si>
    <t>Abdul Ghani Glass &amp; Metal</t>
  </si>
  <si>
    <t>YellowPages UAE profile | landline_or_tollfree | https://www.yellowpages-uae.com/abdul-ghani-glass-metal-161836</t>
  </si>
  <si>
    <t>YellowPages UAE profile | mobile | https://www.yellowpages-uae.com/abdul-ghani-glass-metal-161836</t>
  </si>
  <si>
    <t>Abdul Ghani Neon Sign</t>
  </si>
  <si>
    <t>YellowPages UAE profile | landline_or_tollfree | https://www.yellowpages-uae.com/abdul-ghani-neon-sign-120675</t>
  </si>
  <si>
    <t>Abdul Hadi Eye Center</t>
  </si>
  <si>
    <t>YellowPages UAE profile | landline_or_tollfree | https://www.yellowpages-uae.com/abdul-hadi-eye-center-151627</t>
  </si>
  <si>
    <t>Abdul Hafidh Al Jassmi Garage</t>
  </si>
  <si>
    <t>YellowPages UAE profile | landline_or_tollfree | https://www.yellowpages-uae.com/abdul-hafidh-al-jassmi-garage-151274</t>
  </si>
  <si>
    <t>Abdul Hakim and Sharma Spare Parts</t>
  </si>
  <si>
    <t>YellowPages UAE profile | landline_or_tollfree | https://www.yellowpages-uae.com/abdul-hakim-and-sharma-spare-parts-111574</t>
  </si>
  <si>
    <t>Abdul Hamid Al Reza Co</t>
  </si>
  <si>
    <t>YellowPages UAE profile | landline_or_tollfree | https://www.yellowpages-uae.com/abdul-hamid-al-reza-co-112518</t>
  </si>
  <si>
    <t>Abdul Jabbar Building Maint and Paint Establishment</t>
  </si>
  <si>
    <t>YellowPages UAE profile | landline_or_tollfree | https://www.yellowpages-uae.com/abdul-jabbar-building-maint-and-paint-establishment-128193</t>
  </si>
  <si>
    <t>Abdul Jabbar Dawood Trading Establishment</t>
  </si>
  <si>
    <t>YellowPages UAE profile | landline_or_tollfree | https://www.yellowpages-uae.com/abdul-jabbar-dawood-trading-establishment-120170</t>
  </si>
  <si>
    <t>Abdul Jaleel Commercial Broker LLC</t>
  </si>
  <si>
    <t>YellowPages UAE profile | landline_or_tollfree | https://www.yellowpages-uae.com/abdul-jaleel-commercial-broker-llc-156664</t>
  </si>
  <si>
    <t>Abdul Jaleel Marine Spares LLC</t>
  </si>
  <si>
    <t>YellowPages UAE profile | landline_or_tollfree | https://www.yellowpages-uae.com/abdul-jaleel-marine-spares-llc-121252</t>
  </si>
  <si>
    <t>Abdul Jalil Darwish Real Estate Establishment</t>
  </si>
  <si>
    <t>YellowPages UAE profile | landline_or_tollfree | https://www.yellowpages-uae.com/abdul-jalil-darwish-real-estate-establishment-129472</t>
  </si>
  <si>
    <t>Abdul Kadir Hakimuddin Trading Co</t>
  </si>
  <si>
    <t>YellowPages UAE profile | landline_or_tollfree | https://www.yellowpages-uae.com/abdul-kadir-hakimuddin-trading-co-183660</t>
  </si>
  <si>
    <t>YellowPages UAE profile | mobile | https://www.yellowpages-uae.com/abdul-kadir-hakimuddin-trading-co-183660</t>
  </si>
  <si>
    <t>Abdul Kadir Hakimuddin Trading Co LLC</t>
  </si>
  <si>
    <t>YellowPages UAE profile | landline_or_tollfree | https://www.yellowpages-uae.com/abdul-kadir-hakimuddin-trading-co-llc-176658</t>
  </si>
  <si>
    <t>YellowPages UAE profile | mobile | https://www.yellowpages-uae.com/abdul-kadir-hakimuddin-trading-co-llc-176658</t>
  </si>
  <si>
    <t>Abdul Kadir Sorathia Trading LLC</t>
  </si>
  <si>
    <t>YellowPages UAE profile | landline_or_tollfree | https://www.yellowpages-uae.com/abdul-kadir-sorathia-trading-llc-137362</t>
  </si>
  <si>
    <t>Abdul Karim Alwan F/Stuff Trading LLC</t>
  </si>
  <si>
    <t>YellowPages UAE profile | landline_or_tollfree | https://www.yellowpages-uae.com/abdul-karim-alwan-f-stuff-trading-llc-131306</t>
  </si>
  <si>
    <t>Abdul Karim Mohd Saeed Textile</t>
  </si>
  <si>
    <t>YellowPages UAE profile | landline_or_tollfree | https://www.yellowpages-uae.com/abdul-karim-mohd-saeed-textile-120112</t>
  </si>
  <si>
    <t>Abdul Karim Nur Hassan Trading Company LLC</t>
  </si>
  <si>
    <t>YellowPages UAE profile | landline_or_tollfree | https://www.yellowpages-uae.com/abdul-karim-nur-hassan-trading-company-llc-119143</t>
  </si>
  <si>
    <t>Abdul Latif Brothers Store</t>
  </si>
  <si>
    <t>YellowPages UAE profile | landline_or_tollfree | https://www.yellowpages-uae.com/abdul-latif-brothers-store-115215</t>
  </si>
  <si>
    <t>Abdul Majid Haji Trading</t>
  </si>
  <si>
    <t>YellowPages UAE profile | landline_or_tollfree | https://www.yellowpages-uae.com/abdul-majid-haji-trading-120171</t>
  </si>
  <si>
    <t>Abdul Manan Trading Company LLC</t>
  </si>
  <si>
    <t>YellowPages UAE profile | landline_or_tollfree | https://www.yellowpages-uae.com/abdul-manan-trading-company-llc-165018</t>
  </si>
  <si>
    <t>Abdul Naveed Malik Technical And Cleaning LLC</t>
  </si>
  <si>
    <t>YellowPages UAE profile | landline_or_tollfree | https://www.yellowpages-uae.com/abdul-naveed-malik-technical-and-cleaning-llc-179204</t>
  </si>
  <si>
    <t>YellowPages UAE profile | mobile | https://www.yellowpages-uae.com/abdul-naveed-malik-technical-and-cleaning-llc-179204</t>
  </si>
  <si>
    <t>Abdul Noor Al Rais Group</t>
  </si>
  <si>
    <t>YellowPages UAE profile | landline_or_tollfree | https://www.yellowpages-uae.com/abdul-noor-al-rais-group-12451</t>
  </si>
  <si>
    <t>YellowPages UAE profile | mobile | https://www.yellowpages-uae.com/abdul-noor-al-rais-group-12451</t>
  </si>
  <si>
    <t>Abdul Qader Faghihi and Company LLC</t>
  </si>
  <si>
    <t>YellowPages UAE profile | landline_or_tollfree | https://www.yellowpages-uae.com/abdul-qader-faghihi-and-company-llc-113710</t>
  </si>
  <si>
    <t>Abdul Qadir Mohamed General Trading Company LLC</t>
  </si>
  <si>
    <t>YellowPages UAE profile | landline_or_tollfree | https://www.yellowpages-uae.com/abdul-qadir-mohamed-general-trading-company-llc-142038</t>
  </si>
  <si>
    <t>Abdul Qayyum Corner LLC</t>
  </si>
  <si>
    <t>YellowPages UAE profile | landline_or_tollfree | https://www.yellowpages-uae.com/abdul-qayyum-corner-llc-161152</t>
  </si>
  <si>
    <t>Abdul Rahim A M Al Rais</t>
  </si>
  <si>
    <t>YellowPages UAE profile | landline_or_tollfree | https://www.yellowpages-uae.com/abdul-rahim-a-m-al-rais-111623</t>
  </si>
  <si>
    <t>Abdul Rahim Abdul Karim Embroidery</t>
  </si>
  <si>
    <t>YellowPages UAE profile | landline_or_tollfree | https://www.yellowpages-uae.com/abdul-rahim-abdul-karim-embroidery-161108</t>
  </si>
  <si>
    <t>Abdul Rahim Abdul Karim LLC</t>
  </si>
  <si>
    <t>YellowPages UAE profile | landline_or_tollfree | https://www.yellowpages-uae.com/abdul-rahim-abdul-karim-llc-121879</t>
  </si>
  <si>
    <t>Abdul Rahim Al Zarooni Real Estate</t>
  </si>
  <si>
    <t>YellowPages UAE profile | landline_or_tollfree | https://www.yellowpages-uae.com/abdul-rahim-al-zarooni-real-estate-120009</t>
  </si>
  <si>
    <t>Abdul Rahim Ali Mohd and Sons</t>
  </si>
  <si>
    <t>YellowPages UAE profile | landline_or_tollfree | https://www.yellowpages-uae.com/abdul-rahim-ali-mohd-and-sons-112814</t>
  </si>
  <si>
    <t>YellowPages UAE profile | mobile | https://www.yellowpages-uae.com/abdul-rahim-ali-mohd-and-sons-112814</t>
  </si>
  <si>
    <t>Abdul Rahim Architectural Consultants</t>
  </si>
  <si>
    <t>YellowPages UAE profile | landline_or_tollfree | https://www.yellowpages-uae.com/abdul-rahim-architectural-consultants-112736</t>
  </si>
  <si>
    <t>Abdul Rahim Dorabi Trading Est</t>
  </si>
  <si>
    <t>YellowPages UAE profile | landline_or_tollfree | https://www.yellowpages-uae.com/abdul-rahim-dorabi-trading-est-158475</t>
  </si>
  <si>
    <t>Abdul Rahim Hussain Ali Khoory Grocery</t>
  </si>
  <si>
    <t>YellowPages UAE profile | landline_or_tollfree | https://www.yellowpages-uae.com/abdul-rahim-hussain-ali-khoory-grocery-113950</t>
  </si>
  <si>
    <t>Abdul Rahim M A Al Zarooni General Trading</t>
  </si>
  <si>
    <t>YellowPages UAE profile | landline_or_tollfree | https://www.yellowpages-uae.com/abdul-rahim-m-a-al-zarooni-general-trading-105743</t>
  </si>
  <si>
    <t>Abdul Rahman Abdul Rahim Al Zarooni Passenger Transport</t>
  </si>
  <si>
    <t>YellowPages UAE profile | landline_or_tollfree | https://www.yellowpages-uae.com/abdul-rahman-abdul-rahim-al-zarooni-passenger-transport-158815</t>
  </si>
  <si>
    <t>YellowPages UAE profile | mobile | https://www.yellowpages-uae.com/abdul-rahman-abdul-rahim-al-zarooni-passenger-transport-158815</t>
  </si>
  <si>
    <t>Abdul Rahman Abdulla Building Material</t>
  </si>
  <si>
    <t>YellowPages UAE profile | landline_or_tollfree | https://www.yellowpages-uae.com/abdul-rahman-abdulla-building-material-188623</t>
  </si>
  <si>
    <t>YellowPages UAE profile | mobile | https://www.yellowpages-uae.com/abdul-rahman-abdulla-building-material-188623</t>
  </si>
  <si>
    <t>Abdul Rahman Ahmed Al Attar Textiles Trading</t>
  </si>
  <si>
    <t>YellowPages UAE profile | landline_or_tollfree | https://www.yellowpages-uae.com/abdul-rahman-ahmed-al-attar-textiles-trading-124524</t>
  </si>
  <si>
    <t>Abdul Rahman Ahmed Al Attar Trading Establishment</t>
  </si>
  <si>
    <t>YellowPages UAE profile | landline_or_tollfree | https://www.yellowpages-uae.com/abdul-rahman-ahmed-al-attar-trading-establishment-129182</t>
  </si>
  <si>
    <t>Abdul Rahman Ali Textiles</t>
  </si>
  <si>
    <t>YellowPages UAE profile | landline_or_tollfree | https://www.yellowpages-uae.com/abdul-rahman-ali-textiles-163726</t>
  </si>
  <si>
    <t>Abdul Rahman Ishaq Mohd Trading Co</t>
  </si>
  <si>
    <t>YellowPages UAE profile | landline_or_tollfree | https://www.yellowpages-uae.com/abdul-rahman-ishaq-mohd-trading-co-120144</t>
  </si>
  <si>
    <t>Abdul Rahman Moumin Trading Company LLC</t>
  </si>
  <si>
    <t>YellowPages UAE profile | landline_or_tollfree | https://www.yellowpages-uae.com/abdul-rahman-moumin-trading-company-llc-146446</t>
  </si>
  <si>
    <t>Abdul Rahman Naseeb Advocates and Legal Consultants</t>
  </si>
  <si>
    <t>YellowPages UAE profile | landline_or_tollfree | https://www.yellowpages-uae.com/abdul-rahman-naseeb-advocates-and-legal-consultants-153812</t>
  </si>
  <si>
    <t>Abdul Rahman Nezam Aluminium And Glass</t>
  </si>
  <si>
    <t>YellowPages UAE profile | landline_or_tollfree | https://www.yellowpages-uae.com/abdul-rahman-nezam-aliminium-and-glass-158184</t>
  </si>
  <si>
    <t>Abdul Rahman Raiesi Trading Establishment</t>
  </si>
  <si>
    <t>YellowPages UAE profile | landline_or_tollfree | https://www.yellowpages-uae.com/abdul-rahman-raiesi-trading-establishment-119482</t>
  </si>
  <si>
    <t>Abdul Rahman Shihabi, Dr</t>
  </si>
  <si>
    <t>YellowPages UAE profile | landline_or_tollfree | https://www.yellowpages-uae.com/abdul-rahman-shihabi-dr-115213</t>
  </si>
  <si>
    <t>Abdul Rahman Tahir Grocery</t>
  </si>
  <si>
    <t>YellowPages UAE profile | landline_or_tollfree | https://www.yellowpages-uae.com/abdul-rahman-tahir-grocery-111678</t>
  </si>
  <si>
    <t>Abdul Rahman Trading Establishment</t>
  </si>
  <si>
    <t>YellowPages UAE profile | landline_or_tollfree | https://www.yellowpages-uae.com/abdul-rahman-trading-establishment-145598</t>
  </si>
  <si>
    <t>Abdul Raoof Mahmood Trading Co</t>
  </si>
  <si>
    <t>YellowPages UAE profile | landline_or_tollfree | https://www.yellowpages-uae.com/abdul-raoof-mahmood-trading-co-120060</t>
  </si>
  <si>
    <t>Abdul Rasool Fazel Trading</t>
  </si>
  <si>
    <t>YellowPages UAE profile | landline_or_tollfree | https://www.yellowpages-uae.com/abdul-rasool-fazel-trading-113098</t>
  </si>
  <si>
    <t>Abdul Rasool Mirza General Trading Stores</t>
  </si>
  <si>
    <t>YellowPages UAE profile | landline_or_tollfree | https://www.yellowpages-uae.com/abdul-rasool-mirza-general-trading-stores-120830</t>
  </si>
  <si>
    <t>Abdul Razak Arjomand Trdg Co</t>
  </si>
  <si>
    <t>YellowPages UAE profile | landline_or_tollfree | https://www.yellowpages-uae.com/abdul-razak-arjomand-trdg-co-161380</t>
  </si>
  <si>
    <t>Abdul Razak M Tabei Trading</t>
  </si>
  <si>
    <t>YellowPages UAE profile | landline_or_tollfree | https://www.yellowpages-uae.com/abdul-razak-m-tabei-trading-134611</t>
  </si>
  <si>
    <t>Abdul Razak Qanbar Al Ansari &amp; Sons Company Limited</t>
  </si>
  <si>
    <t>YellowPages UAE profile | landline_or_tollfree | https://www.yellowpages-uae.com/abdul-razak-qanbar-al-ansari-sons-company-limited-172370</t>
  </si>
  <si>
    <t>Abdul Razaq Ibrahim Ali Trading</t>
  </si>
  <si>
    <t>YellowPages UAE profile | landline_or_tollfree | https://www.yellowpages-uae.com/abdul-razaq-ibrahim-ali-trading-111888</t>
  </si>
  <si>
    <t>Abdul Razaq Rahmania Trading</t>
  </si>
  <si>
    <t>YellowPages UAE profile | landline_or_tollfree | https://www.yellowpages-uae.com/abdul-razaq-rahmania-trading-117819</t>
  </si>
  <si>
    <t>Abdul Razzak Khadem Trading Establishment</t>
  </si>
  <si>
    <t>YellowPages UAE profile | landline_or_tollfree | https://www.yellowpages-uae.com/abdul-razzak-khadem-trading-establishment-111758</t>
  </si>
  <si>
    <t>Abdul Razzaq A Trading LLC</t>
  </si>
  <si>
    <t>YellowPages UAE profile | landline_or_tollfree | https://www.yellowpages-uae.com/abdul-razzaq-a-trading-llc-143490</t>
  </si>
  <si>
    <t>Abdul Razzaq Building Material Trading</t>
  </si>
  <si>
    <t>YellowPages UAE profile | landline_or_tollfree | https://www.yellowpages-uae.com/abdul-razzaq-building-material-trading-61438</t>
  </si>
  <si>
    <t>YellowPages UAE profile | landline_or_tollfree | https://www.yellowpages-uae.com/abdul-razzaq-mohiddin-abdulla-trading-establishment-181956</t>
  </si>
  <si>
    <t>YellowPages UAE profile | landline_or_tollfree | https://www.yellowpages-uae.com/abdul-razzaq-mohiddin-abdulla-trading-establishment-181286</t>
  </si>
  <si>
    <t>YellowPages UAE profile | mobile | https://www.yellowpages-uae.com/abdul-razzaq-mohiddin-abdulla-trading-establishment-181286</t>
  </si>
  <si>
    <t>Abdul Reda Mohammed Hassan Grocery</t>
  </si>
  <si>
    <t>YellowPages UAE profile | landline_or_tollfree | https://www.yellowpages-uae.com/abdul-reda-mohammed-hassan-grocery-165685</t>
  </si>
  <si>
    <t>Abdul Redha Ghanim Grocery</t>
  </si>
  <si>
    <t>YellowPages UAE profile | landline_or_tollfree | https://www.yellowpages-uae.com/abdul-redha-ghanim-grocery-165686</t>
  </si>
  <si>
    <t>Abdul Rehman Al Balooshi Building Material Trading</t>
  </si>
  <si>
    <t>YellowPages UAE profile | landline_or_tollfree | https://www.yellowpages-uae.com/abdul-rehman-al-balooshi-building-material-trading-135564</t>
  </si>
  <si>
    <t>Abdul Rehman Al Hajri General Trading</t>
  </si>
  <si>
    <t>YellowPages UAE profile | landline_or_tollfree | https://www.yellowpages-uae.com/abdul-rehman-al-hajri-general-trading-139437</t>
  </si>
  <si>
    <t>Abdul Rehman Mudassar Transportation LLC</t>
  </si>
  <si>
    <t>YellowPages UAE profile | mobile | https://www.yellowpages-uae.com/abdul-rehman-mudassar-transportation-llc-190600</t>
  </si>
  <si>
    <t>Abdulhadi Trading Co LLC</t>
  </si>
  <si>
    <t>YellowPages UAE profile | landline_or_tollfree | https://www.yellowpages-uae.com/abdul-hadi-trdg-est-161370</t>
  </si>
  <si>
    <t>Al Khoory Automobiles (LLC) Branch</t>
  </si>
  <si>
    <t>YellowPages UAE profile | landline_or_tollfree | https://www.yellowpages-uae.com/aal-khoory-automobiles-llc-branch-149340</t>
  </si>
  <si>
    <t>Alight Steel Construction Contracting LLC</t>
  </si>
  <si>
    <t>YellowPages UAE profile | landline_or_tollfree | https://www.yellowpages-uae.com/a-a-c-w-llc-152817</t>
  </si>
  <si>
    <t>AMR General Trading Co LLC</t>
  </si>
  <si>
    <t>YellowPages UAE profile | landline_or_tollfree | https://www.yellowpages-uae.com/a-m-r-trdg-co-llc-161343</t>
  </si>
  <si>
    <t>YellowPages UAE profile | mobile | https://www.yellowpages-uae.com/a-m-r-trdg-co-llc-161343</t>
  </si>
  <si>
    <t>AST Technical Services LLC</t>
  </si>
  <si>
    <t>YellowPages UAE profile | mobile | https://www.yellowpages-uae.com/a-s-t-technical-services-llc-168570</t>
  </si>
  <si>
    <t>Muhammad Ashraf Lal Hussain Trading</t>
  </si>
  <si>
    <t>YellowPages UAE profile | landline_or_tollfree | https://www.yellowpages-uae.com/abdul-ahmed-almari-veg-and-fruit-114556</t>
  </si>
  <si>
    <t>YellowPages UAE profile | landline_or_tollfree | https://www.yellowpages-uae.com/abdul-majid-hamadeh-and-co-104439</t>
  </si>
  <si>
    <t>South India General Trading</t>
  </si>
  <si>
    <t>YellowPages UAE profile | landline_or_tollfree | https://www.yellowpages-uae.com/abdul-rahman-al-jarman-trading-establishment-138589</t>
  </si>
  <si>
    <t>Vista International Advertising LLC</t>
  </si>
  <si>
    <t>YellowPages UAE profile | landline_or_tollfree | https://www.yellowpages-uae.com/a-2-z-vista-131613</t>
  </si>
  <si>
    <t>World of Pens and Accessories</t>
  </si>
  <si>
    <t>YellowPages UAE profile | landline_or_tollfree | https://www.yellowpages-uae.com/a-world-of-pens-and-accessories-113932</t>
  </si>
  <si>
    <t>YellowPages UAE profile | mobile | https://www.yellowpages-uae.com/a-world-of-pens-and-accessories-113932</t>
  </si>
  <si>
    <t>5 Stars Beauty Saloon</t>
  </si>
  <si>
    <t>Fujairah</t>
  </si>
  <si>
    <t>YellowPages UAE profile | landline_or_tollfree | https://www.yellowpages-uae.com/5-stars-beauty-salon-169993</t>
  </si>
  <si>
    <t>A K General Construction</t>
  </si>
  <si>
    <t>YellowPages UAE profile | landline_or_tollfree | https://www.yellowpages-uae.com/a-k-general-construction-124955</t>
  </si>
  <si>
    <t>A S Majed Grocery</t>
  </si>
  <si>
    <t>YellowPages UAE profile | landline_or_tollfree | https://www.yellowpages-uae.com/a-s-majed-grocery-166213</t>
  </si>
  <si>
    <t>A2Y Construction and Electromechanical</t>
  </si>
  <si>
    <t>YellowPages UAE profile | mobile | https://www.yellowpages-uae.com/a2y-construction-and-electromechanical-176192</t>
  </si>
  <si>
    <t>YellowPages UAE profile | landline_or_tollfree | https://www.yellowpages-uae.com/a2y-construction-and-electromechanical-176192</t>
  </si>
  <si>
    <t>Aamer Saloon</t>
  </si>
  <si>
    <t>YellowPages UAE profile | landline_or_tollfree | https://www.yellowpages-uae.com/aamer-saloon-122722</t>
  </si>
  <si>
    <t>Abdul Aziz Bin Abdullatif Al Serkal Establishment</t>
  </si>
  <si>
    <t>YellowPages UAE profile | landline_or_tollfree | https://www.yellowpages-uae.com/abdul-aziz-bin-abdullatif-al-serkal-establishment-106000</t>
  </si>
  <si>
    <t>Abdul Rahman Bakery</t>
  </si>
  <si>
    <t>YellowPages UAE profile | landline_or_tollfree | https://www.yellowpages-uae.com/abdul-rahman-bakery-121144</t>
  </si>
  <si>
    <t>3 db</t>
  </si>
  <si>
    <t>Jebel Ali</t>
  </si>
  <si>
    <t>YellowPages UAE profile | landline_or_tollfree | https://www.yellowpages-uae.com/3-db-118929</t>
  </si>
  <si>
    <t>3C Global Services LLC</t>
  </si>
  <si>
    <t>YellowPages UAE profile | landline_or_tollfree | https://www.yellowpages-uae.com/3c-global-services-llc-140548</t>
  </si>
  <si>
    <t>3C Metal International LLC</t>
  </si>
  <si>
    <t>YellowPages UAE profile | landline_or_tollfree | https://www.yellowpages-uae.com/3c-metal-international-llc-130743</t>
  </si>
  <si>
    <t>3C Metal Middle East Fze</t>
  </si>
  <si>
    <t>YellowPages UAE profile | landline_or_tollfree | https://www.yellowpages-uae.com/3c-metal-middle-east-fze-145405</t>
  </si>
  <si>
    <t>3D Dev and Distribution FZCO</t>
  </si>
  <si>
    <t>YellowPages UAE profile | landline_or_tollfree | https://www.yellowpages-uae.com/3d-dev-and-distribution-fzco-129939</t>
  </si>
  <si>
    <t>YellowPages UAE profile | landline_or_tollfree | https://www.yellowpages-uae.com/3m-gulf-limited-105240</t>
  </si>
  <si>
    <t>4 Corner Gen Trdg LLC</t>
  </si>
  <si>
    <t>YellowPages UAE profile | landline_or_tollfree | https://www.yellowpages-uae.com/4-corner-gen-trdg-llc-148729</t>
  </si>
  <si>
    <t>4 Homes Fz Co</t>
  </si>
  <si>
    <t>YellowPages UAE profile | landline_or_tollfree | https://www.yellowpages-uae.com/4-homes-fz-co-102281</t>
  </si>
  <si>
    <t>A &amp; A Intl</t>
  </si>
  <si>
    <t>YellowPages UAE profile | landline_or_tollfree | https://www.yellowpages-uae.com/a-a-intl-132101</t>
  </si>
  <si>
    <t>A B Express</t>
  </si>
  <si>
    <t>YellowPages UAE profile | landline_or_tollfree | https://www.yellowpages-uae.com/a-b-express-122783</t>
  </si>
  <si>
    <t>A B Mauri Middle East FZE</t>
  </si>
  <si>
    <t>YellowPages UAE profile | landline_or_tollfree | https://www.yellowpages-uae.com/a-b-mauri-middle-east-fze-158264</t>
  </si>
  <si>
    <t>A B Metals</t>
  </si>
  <si>
    <t>YellowPages UAE profile | landline_or_tollfree | https://www.yellowpages-uae.com/a-b-metals-150818</t>
  </si>
  <si>
    <t>A F Compressors Middle East FZE</t>
  </si>
  <si>
    <t>YellowPages UAE profile | landline_or_tollfree | https://www.yellowpages-uae.com/a-f-compressors-middle-east-fze-142672</t>
  </si>
  <si>
    <t>YellowPages UAE profile | mobile | https://www.yellowpages-uae.com/a-f-compressors-middle-east-fze-142672</t>
  </si>
  <si>
    <t>A J Tronics FZCO</t>
  </si>
  <si>
    <t>YellowPages UAE profile | landline_or_tollfree | https://www.yellowpages-uae.com/a-j-tronics-fzco-143783</t>
  </si>
  <si>
    <t>A K Saeed For Trading &amp; Industry Ltd</t>
  </si>
  <si>
    <t>YellowPages UAE profile | landline_or_tollfree | https://www.yellowpages-uae.com/a-k-saeed-for-trading-industry-ltd-151263</t>
  </si>
  <si>
    <t>A Memberoffmirates National Group</t>
  </si>
  <si>
    <t>YellowPages UAE profile | landline_or_tollfree | https://www.yellowpages-uae.com/a-memberoffmirates-national-group-150934</t>
  </si>
  <si>
    <t>A O Smith FZE</t>
  </si>
  <si>
    <t>YellowPages UAE profile | landline_or_tollfree | https://www.yellowpages-uae.com/a-o-smith-fze-148576</t>
  </si>
  <si>
    <t>A Unned Technologies Company</t>
  </si>
  <si>
    <t>YellowPages UAE profile | landline_or_tollfree | https://www.yellowpages-uae.com/a-unned-technologies-company-145170</t>
  </si>
  <si>
    <t>A Usco Company</t>
  </si>
  <si>
    <t>YellowPages UAE profile | landline_or_tollfree | https://www.yellowpages-uae.com/a-usco-company-144918</t>
  </si>
  <si>
    <t>AAA Construction Equipment FZCO</t>
  </si>
  <si>
    <t>YellowPages UAE profile | landline_or_tollfree | https://www.yellowpages-uae.com/aaa-construction-equipment-fzco-144804</t>
  </si>
  <si>
    <t>AAA Freight Services</t>
  </si>
  <si>
    <t>YellowPages UAE profile | landline_or_tollfree | https://www.yellowpages-uae.com/aaa-freight-services-169117</t>
  </si>
  <si>
    <t>YellowPages UAE profile | mobile | https://www.yellowpages-uae.com/aaa-freight-services-169117</t>
  </si>
  <si>
    <t>YellowPages UAE profile | landline_or_tollfree | https://www.yellowpages-uae.com/aaf-international-air-filtration-systems-llc-178775</t>
  </si>
  <si>
    <t>Aal Mir Trdg Co LLC</t>
  </si>
  <si>
    <t>YellowPages UAE profile | landline_or_tollfree | https://www.yellowpages-uae.com/aal-mir-trdg-co-llc-116185</t>
  </si>
  <si>
    <t>Aalmir Plastic Industries LLC</t>
  </si>
  <si>
    <t>YellowPages UAE profile | landline_or_tollfree | https://www.yellowpages-uae.com/aalmir-plastic-industries-llc-189792</t>
  </si>
  <si>
    <t>Aarti Steel Gulf FZCO</t>
  </si>
  <si>
    <t>YellowPages UAE profile | landline_or_tollfree | https://www.yellowpages-uae.com/aarti-steel-gulf-fzco-150497</t>
  </si>
  <si>
    <t>Abanos Furniture &amp; Decoration Industry LLC</t>
  </si>
  <si>
    <t>YellowPages UAE profile | landline_or_tollfree | https://www.yellowpages-uae.com/abanos-furniture-decoration-industry-llc-144850</t>
  </si>
  <si>
    <t>ABC International Limited</t>
  </si>
  <si>
    <t>YellowPages UAE profile | landline_or_tollfree | https://www.yellowpages-uae.com/a-b-c-international-limited-108300</t>
  </si>
  <si>
    <t>ABC Systems Limited</t>
  </si>
  <si>
    <t>YellowPages UAE profile | landline_or_tollfree | https://www.yellowpages-uae.com/abc-systems-limited-119264</t>
  </si>
  <si>
    <t>Abdul Aziz and Sa'ad Almoajil Co</t>
  </si>
  <si>
    <t>YellowPages UAE profile | landline_or_tollfree | https://www.yellowpages-uae.com/abdul-aziz-and-sa-ad-almoajil-co-119580</t>
  </si>
  <si>
    <t>Abdul Muhsen Shipping Establishment</t>
  </si>
  <si>
    <t>YellowPages UAE profile | landline_or_tollfree | https://www.yellowpages-uae.com/abdul-muhsen-shipping-establishment-134237</t>
  </si>
  <si>
    <t>AK Cladding LLC</t>
  </si>
  <si>
    <t>YellowPages UAE profile | landline_or_tollfree | https://www.yellowpages-uae.com/a-k-cladding-180847</t>
  </si>
  <si>
    <t>YellowPages UAE profile | mobile | https://www.yellowpages-uae.com/a-k-cladding-180847</t>
  </si>
  <si>
    <t>A-Technologies FZCO</t>
  </si>
  <si>
    <t>YellowPages UAE profile | landline_or_tollfree | https://www.yellowpages-uae.com/a-technologies-fzco-142985</t>
  </si>
  <si>
    <t>1 Stop Auto Electrician</t>
  </si>
  <si>
    <t>Ras Al Khaimah</t>
  </si>
  <si>
    <t>YellowPages UAE profile | landline_or_tollfree | https://www.yellowpages-uae.com/1-stop-auto-electrician-134566</t>
  </si>
  <si>
    <t>505 Mobile Phones</t>
  </si>
  <si>
    <t>YellowPages UAE profile | landline_or_tollfree | https://www.yellowpages-uae.com/505-mobile-phones-134532</t>
  </si>
  <si>
    <t>A &amp; G FZ LLC</t>
  </si>
  <si>
    <t>YellowPages UAE profile | landline_or_tollfree | https://www.yellowpages-uae.com/a-and-g-fz-llc-169994</t>
  </si>
  <si>
    <t>A M Tailors</t>
  </si>
  <si>
    <t>YellowPages UAE profile | landline_or_tollfree | https://www.yellowpages-uae.com/a-m-tailors-138141</t>
  </si>
  <si>
    <t>Abayat Al Fareed</t>
  </si>
  <si>
    <t>YellowPages UAE profile | landline_or_tollfree | https://www.yellowpages-uae.com/abayat-al-fareed-139419</t>
  </si>
  <si>
    <t>YellowPages UAE profile | landline_or_tollfree | https://www.yellowpages-uae.com/abba-fashions-137873</t>
  </si>
  <si>
    <t>Abbood Steel Workshop</t>
  </si>
  <si>
    <t>YellowPages UAE profile | landline_or_tollfree | https://www.yellowpages-uae.com/abbood-steel-workshop-135410</t>
  </si>
  <si>
    <t>ABC Industries LLC</t>
  </si>
  <si>
    <t>YellowPages UAE profile | landline_or_tollfree | https://www.yellowpages-uae.com/abc-industries-llc-178553</t>
  </si>
  <si>
    <t>Abdul Haq Steel Workshop</t>
  </si>
  <si>
    <t>YellowPages UAE profile | landline_or_tollfree | https://www.yellowpages-uae.com/abdul-haq-steel-workshop-125985</t>
  </si>
  <si>
    <t>Abdul Karim Sofa Furniture Shop</t>
  </si>
  <si>
    <t>YellowPages UAE profile | landline_or_tollfree | https://www.yellowpages-uae.com/abdul-karim-sofa-furniture-shop-139856</t>
  </si>
  <si>
    <t>Abdul Nasar Stores</t>
  </si>
  <si>
    <t>YellowPages UAE profile | landline_or_tollfree | https://www.yellowpages-uae.com/abdul-nasar-stores-113531</t>
  </si>
  <si>
    <t>Sharjah</t>
  </si>
  <si>
    <t>YellowPages UAE profile | landline_or_tollfree | https://www.yellowpages-uae.com/101-parathas-175272</t>
  </si>
  <si>
    <t>YellowPages UAE profile | mobile | https://www.yellowpages-uae.com/123-cargo-llc-170093</t>
  </si>
  <si>
    <t>YellowPages UAE profile | landline_or_tollfree | https://www.yellowpages-uae.com/123-cargo-llc-170093</t>
  </si>
  <si>
    <t>YellowPages UAE profile | landline_or_tollfree | https://www.yellowpages-uae.com/123-cargo-llc-170094</t>
  </si>
  <si>
    <t>18 Fashion</t>
  </si>
  <si>
    <t>YellowPages UAE profile | landline_or_tollfree | https://www.yellowpages-uae.com/18-fashion-164156</t>
  </si>
  <si>
    <t>360 Degree Global Trading FZC</t>
  </si>
  <si>
    <t>YellowPages UAE profile | mobile | https://www.yellowpages-uae.com/360-degree-global-trading-fzc-172573</t>
  </si>
  <si>
    <t>360 Degree Hub</t>
  </si>
  <si>
    <t>YellowPages UAE profile | mobile | https://www.yellowpages-uae.com/360-degree-hub-189058</t>
  </si>
  <si>
    <t>3A Solutions FZC</t>
  </si>
  <si>
    <t>YellowPages UAE profile | landline_or_tollfree | https://www.yellowpages-uae.com/3a-solutions-fzc-114520</t>
  </si>
  <si>
    <t>3I Infotech Limited</t>
  </si>
  <si>
    <t>YellowPages UAE profile | landline_or_tollfree | https://www.yellowpages-uae.com/3i-infotech-limited-135943</t>
  </si>
  <si>
    <t>4U Power Generation FZC</t>
  </si>
  <si>
    <t>YellowPages UAE profile | mobile | https://www.yellowpages-uae.com/4u-power-generation-fzc-188988</t>
  </si>
  <si>
    <t>YellowPages UAE profile | landline_or_tollfree | https://www.yellowpages-uae.com/4u-power-generation-fzc-188988</t>
  </si>
  <si>
    <t>7 Dimensions Media FZE</t>
  </si>
  <si>
    <t>YellowPages UAE profile | landline_or_tollfree | https://www.yellowpages-uae.com/7-dimensions-media-fze-127275</t>
  </si>
  <si>
    <t>A A A Constn Equipment Establishment</t>
  </si>
  <si>
    <t>YellowPages UAE profile | landline_or_tollfree | https://www.yellowpages-uae.com/a-a-a-constn-equipment-establishment-109630</t>
  </si>
  <si>
    <t>A Alico Ltd</t>
  </si>
  <si>
    <t>YellowPages UAE profile | mobile | https://www.yellowpages-uae.com/a-alico-ltd-141175</t>
  </si>
  <si>
    <t>YellowPages UAE profile | landline_or_tollfree | https://www.yellowpages-uae.com/a-alico-ltd-141175</t>
  </si>
  <si>
    <t>A Alvares</t>
  </si>
  <si>
    <t>YellowPages UAE profile | mobile | https://www.yellowpages-uae.com/a-alvares-145325</t>
  </si>
  <si>
    <t>A B C Nursery Sharjah</t>
  </si>
  <si>
    <t>YellowPages UAE profile | landline_or_tollfree | https://www.yellowpages-uae.com/a-b-c-nursery-sharjah-148108</t>
  </si>
  <si>
    <t>A B El Fida Pharmacy</t>
  </si>
  <si>
    <t>YellowPages UAE profile | landline_or_tollfree | https://www.yellowpages-uae.com/a-b-el-fida-pharmacy-170976</t>
  </si>
  <si>
    <t>A C C L Aero Academy</t>
  </si>
  <si>
    <t>YellowPages UAE profile | landline_or_tollfree | https://www.yellowpages-uae.com/a-c-c-l-aero-academy-164894</t>
  </si>
  <si>
    <t>A G Corporation FZE</t>
  </si>
  <si>
    <t>YellowPages UAE profile | landline_or_tollfree | https://www.yellowpages-uae.com/a-g-corporation-fze-164918</t>
  </si>
  <si>
    <t>A H S Aviation Services FZE</t>
  </si>
  <si>
    <t>YellowPages UAE profile | landline_or_tollfree | https://www.yellowpages-uae.com/a-h-s-aviation-services-fze-164915</t>
  </si>
  <si>
    <t>A Hatim Brothers</t>
  </si>
  <si>
    <t>YellowPages UAE profile | landline_or_tollfree | https://www.yellowpages-uae.com/a-hatim-brothers-113780</t>
  </si>
  <si>
    <t>A J M Kooheji Group LLC</t>
  </si>
  <si>
    <t>YellowPages UAE profile | landline_or_tollfree | https://www.yellowpages-uae.com/a-j-m-kooheji-group-llc-164071</t>
  </si>
  <si>
    <t>YellowPages UAE profile | landline_or_tollfree | https://www.yellowpages-uae.com/a-j-sports-107866</t>
  </si>
  <si>
    <t>A Leader Pack - Leader Freight Forwarders</t>
  </si>
  <si>
    <t>YellowPages UAE profile | landline_or_tollfree | https://www.yellowpages-uae.com/a-leader-pack-leader-freight-forwarders-117207</t>
  </si>
  <si>
    <t>A M Q Investment</t>
  </si>
  <si>
    <t>YellowPages UAE profile | landline_or_tollfree | https://www.yellowpages-uae.com/a-m-q-investment-157026</t>
  </si>
  <si>
    <t>A M T Phones Intl LLC</t>
  </si>
  <si>
    <t>YellowPages UAE profile | landline_or_tollfree | https://www.yellowpages-uae.com/a-m-t-phones-intl-llc-163004</t>
  </si>
  <si>
    <t>A Movers</t>
  </si>
  <si>
    <t>YellowPages UAE profile | mobile | https://www.yellowpages-uae.com/a-movers-177497</t>
  </si>
  <si>
    <t>A One Metal Coating</t>
  </si>
  <si>
    <t>YellowPages UAE profile | landline_or_tollfree | https://www.yellowpages-uae.com/a-one-metal-coating-164334</t>
  </si>
  <si>
    <t>YellowPages UAE profile | landline_or_tollfree | https://www.yellowpages-uae.com/a-one-technology-fire-safety-and-security-system-llc-153676</t>
  </si>
  <si>
    <t>A R Deco Decor And Furniture</t>
  </si>
  <si>
    <t>YellowPages UAE profile | landline_or_tollfree | https://www.yellowpages-uae.com/a-r-deco-decor-and-furniture-172995</t>
  </si>
  <si>
    <t>A Royal Fifty3 LLC</t>
  </si>
  <si>
    <t>YellowPages UAE profile | landline_or_tollfree | https://www.yellowpages-uae.com/a-royal-fifty3-llc-180085</t>
  </si>
  <si>
    <t>YellowPages UAE profile | mobile | https://www.yellowpages-uae.com/a-royal-fifty3-llc-180085</t>
  </si>
  <si>
    <t>A Sabur Eng Company LLC</t>
  </si>
  <si>
    <t>YellowPages UAE profile | landline_or_tollfree | https://www.yellowpages-uae.com/a-sabur-eng-company-llc-125852</t>
  </si>
  <si>
    <t>YellowPages UAE profile | mobile | https://www.yellowpages-uae.com/a-t-generators-106587</t>
  </si>
  <si>
    <t>YellowPages UAE profile | landline_or_tollfree | https://www.yellowpages-uae.com/a-t-generators-106587</t>
  </si>
  <si>
    <t>A.alico.LLC</t>
  </si>
  <si>
    <t>YellowPages UAE profile | mobile | https://www.yellowpages-uae.com/aalicollc-182855</t>
  </si>
  <si>
    <t>A1 Tools FZE</t>
  </si>
  <si>
    <t>YellowPages UAE profile | landline_or_tollfree | https://www.yellowpages-uae.com/a1-tools-fze-180761</t>
  </si>
  <si>
    <t>AAABC</t>
  </si>
  <si>
    <t>YellowPages UAE profile | landline_or_tollfree | https://www.yellowpages-uae.com/aaabc-185252</t>
  </si>
  <si>
    <t>AAAP Business Services FZE</t>
  </si>
  <si>
    <t>YellowPages UAE profile | mobile | https://www.yellowpages-uae.com/aaap-business-services-fze-191165</t>
  </si>
  <si>
    <t>AAB Electricals</t>
  </si>
  <si>
    <t>YellowPages UAE profile | mobile | https://www.yellowpages-uae.com/aab-electricals-170101</t>
  </si>
  <si>
    <t>YellowPages UAE profile | landline_or_tollfree | https://www.yellowpages-uae.com/aab-electricals-170101</t>
  </si>
  <si>
    <t>Aadiyogi FZC</t>
  </si>
  <si>
    <t>YellowPages UAE profile | mobile | https://www.yellowpages-uae.com/aadiyogi-fzc-190550</t>
  </si>
  <si>
    <t>Aal Group Ltd</t>
  </si>
  <si>
    <t>YellowPages UAE profile | landline_or_tollfree | https://www.yellowpages-uae.com/aal-group-ltd-136303</t>
  </si>
  <si>
    <t>Aal Mir Plastic Industries LLC</t>
  </si>
  <si>
    <t>YellowPages UAE profile | landline_or_tollfree | https://www.yellowpages-uae.com/aal-mir-plastic-industries-llc-120980</t>
  </si>
  <si>
    <t>YellowPages UAE profile | landline_or_tollfree | https://www.yellowpages-uae.com/aalmir-plastic-industries-llc-125968</t>
  </si>
  <si>
    <t>Aaly Qadar Hardware &amp; Electric Ware LLC</t>
  </si>
  <si>
    <t>YellowPages UAE profile | mobile | https://www.yellowpages-uae.com/aaly-qadar-hardware-electric-ware-llc-186993</t>
  </si>
  <si>
    <t>Aamer And Amma Motors Middle East FZC</t>
  </si>
  <si>
    <t>YellowPages UAE profile | mobile | https://www.yellowpages-uae.com/aamer-and-amma-motors-middle-east-fzc-189511</t>
  </si>
  <si>
    <t>YellowPages UAE profile | landline_or_tollfree | https://www.yellowpages-uae.com/aamer-and-amma-motors-middle-east-fzc-189511</t>
  </si>
  <si>
    <t>Aarvi Encon Private Ltd</t>
  </si>
  <si>
    <t>YellowPages UAE profile | mobile | https://www.yellowpages-uae.com/aarvi-encon-private-ltd-103563</t>
  </si>
  <si>
    <t>Aarya Engineering FZC</t>
  </si>
  <si>
    <t>YellowPages UAE profile | mobile | https://www.yellowpages-uae.com/aarya-engineering-fzc-136237</t>
  </si>
  <si>
    <t>AASA Group</t>
  </si>
  <si>
    <t>YellowPages UAE profile | landline_or_tollfree | https://www.yellowpages-uae.com/aasa-group-151843</t>
  </si>
  <si>
    <t>Ab Alkhair Sona Grocery</t>
  </si>
  <si>
    <t>YellowPages UAE profile | mobile | https://www.yellowpages-uae.com/ab-alkhair-sona-grocery-166513</t>
  </si>
  <si>
    <t>AB International FZE</t>
  </si>
  <si>
    <t>YellowPages UAE profile | landline_or_tollfree | https://www.yellowpages-uae.com/ab-international-fze-155575</t>
  </si>
  <si>
    <t>Abacus IT Solutions FZE</t>
  </si>
  <si>
    <t>YellowPages UAE profile | mobile | https://www.yellowpages-uae.com/abacus-it-solutions-fze-148490</t>
  </si>
  <si>
    <t>YellowPages UAE profile | landline_or_tollfree | https://www.yellowpages-uae.com/abacus-it-solutions-fze-148490</t>
  </si>
  <si>
    <t>Abad Al Shams Beauty Saloon</t>
  </si>
  <si>
    <t>YellowPages UAE profile | landline_or_tollfree | https://www.yellowpages-uae.com/abad-al-shams-beauty-saloon-169997</t>
  </si>
  <si>
    <t>Abazar Hardware and Sanitary Trading</t>
  </si>
  <si>
    <t>YellowPages UAE profile | landline_or_tollfree | https://www.yellowpages-uae.com/abazar-hardware-and-sanitary-trading-135594</t>
  </si>
  <si>
    <t>YellowPages UAE profile | landline_or_tollfree | https://www.yellowpages-uae.com/abazar-trading-llc-110183</t>
  </si>
  <si>
    <t>Abba Events and Exhibitions LLC</t>
  </si>
  <si>
    <t>YellowPages UAE profile | mobile | https://www.yellowpages-uae.com/abba-events-and-exhibitions-llc-123435</t>
  </si>
  <si>
    <t>YellowPages UAE profile | landline_or_tollfree | https://www.yellowpages-uae.com/abba-events-and-exhibitions-llc-190977</t>
  </si>
  <si>
    <t>YellowPages UAE profile | landline_or_tollfree | https://www.yellowpages-uae.com/abba-events-and-exhibitions-llc-123435</t>
  </si>
  <si>
    <t>ABBA Manufacturing Ind LLC</t>
  </si>
  <si>
    <t>YellowPages UAE profile | landline_or_tollfree | https://www.yellowpages-uae.com/abba-manufacturing-ind-llc-192258</t>
  </si>
  <si>
    <t>Abba Printing Press LLC</t>
  </si>
  <si>
    <t>YellowPages UAE profile | landline_or_tollfree | https://www.yellowpages-uae.com/abba-printing-press-llc-191762</t>
  </si>
  <si>
    <t>Abbad Soil and Building Material Testing</t>
  </si>
  <si>
    <t>YellowPages UAE profile | mobile | https://www.yellowpages-uae.com/abbad-soil-and-building-material-testing-179601</t>
  </si>
  <si>
    <t>YellowPages UAE profile | landline_or_tollfree | https://www.yellowpages-uae.com/abbad-soil-and-building-material-testing-179601</t>
  </si>
  <si>
    <t>Abbar Group FZC</t>
  </si>
  <si>
    <t>YellowPages UAE profile | landline_or_tollfree | https://www.yellowpages-uae.com/abbar-group-fze-144467</t>
  </si>
  <si>
    <t>Abbas Al Ramazan Supermarket</t>
  </si>
  <si>
    <t>YellowPages UAE profile | landline_or_tollfree | https://www.yellowpages-uae.com/abbas-al-ramazan-supermarket-166514</t>
  </si>
  <si>
    <t>Abbas Ali Hardware &amp; Electric Ware Trading Est</t>
  </si>
  <si>
    <t>YellowPages UAE profile | mobile | https://www.yellowpages-uae.com/abbas-ali-hardware-trading-184377</t>
  </si>
  <si>
    <t>YellowPages UAE profile | landline_or_tollfree | https://www.yellowpages-uae.com/abbas-ali-hardware-trading-184377</t>
  </si>
  <si>
    <t>ABC Ceramics</t>
  </si>
  <si>
    <t>YellowPages UAE profile | mobile | https://www.yellowpages-uae.com/abc-ceramics-181500</t>
  </si>
  <si>
    <t>ABC Chemical Exports Pvt Limited</t>
  </si>
  <si>
    <t>YellowPages UAE profile | mobile | https://www.yellowpages-uae.com/abc-chemical-exports-pvt-limited-118939</t>
  </si>
  <si>
    <t>YellowPages UAE profile | landline_or_tollfree | https://www.yellowpages-uae.com/abc-chemical-exports-pvt-limited-118939</t>
  </si>
  <si>
    <t>ABC Freight Systems FZE</t>
  </si>
  <si>
    <t>YellowPages UAE profile | landline_or_tollfree | https://www.yellowpages-uae.com/abc-freight-systems-fze-164921</t>
  </si>
  <si>
    <t>YellowPages UAE profile | landline_or_tollfree | https://www.yellowpages-uae.com/abdelhadi-engineering-and-contg-company-llc-110416</t>
  </si>
  <si>
    <t>Abdelhamid &amp; Co Certified Public Accountants &amp; Auditors</t>
  </si>
  <si>
    <t>YellowPages UAE profile | mobile | https://www.yellowpages-uae.com/abdelhamid-company-certified-public-accountants-auditors-169016</t>
  </si>
  <si>
    <t>YellowPages UAE profile | landline_or_tollfree | https://www.yellowpages-uae.com/abdelhamid-company-certified-public-accountants-auditors-169016</t>
  </si>
  <si>
    <t>YellowPages UAE profile | landline_or_tollfree | https://www.yellowpages-uae.com/abdul-aziz-bin-abdullatif-al-serkal-establishment-106001</t>
  </si>
  <si>
    <t>Abdul Aziz Jassim Kashwami Establishment</t>
  </si>
  <si>
    <t>YellowPages UAE profile | landline_or_tollfree | https://www.yellowpages-uae.com/abdul-aziz-jassim-kashwami-establishment-172369</t>
  </si>
  <si>
    <t>YellowPages UAE profile | landline_or_tollfree | https://www.yellowpages-uae.com/abdul-aziz-mohd-al-suwaidi-transport-establishment-105279</t>
  </si>
  <si>
    <t>Abdul Basit Farooq Auto Rep</t>
  </si>
  <si>
    <t>YellowPages UAE profile | mobile | https://www.yellowpages-uae.com/abdul-basit-farooq-auto-rep-190067</t>
  </si>
  <si>
    <t>Abdul Ghani Medical Center</t>
  </si>
  <si>
    <t>YellowPages UAE profile | mobile | https://www.yellowpages-uae.com/abdul-ghani-medical-center-6011</t>
  </si>
  <si>
    <t>YellowPages UAE profile | landline_or_tollfree | https://www.yellowpages-uae.com/abdul-ghani-medical-center-6011</t>
  </si>
  <si>
    <t>Abdul Hameed Khouri Aluminium Glass Factory LLC</t>
  </si>
  <si>
    <t>YellowPages UAE profile | landline_or_tollfree | https://www.yellowpages-uae.com/abdul-hameed-khouri-aluminium-glass-factory-llc-112906</t>
  </si>
  <si>
    <t>Abdul Karim Abdulla A/C and Refg Services</t>
  </si>
  <si>
    <t>YellowPages UAE profile | landline_or_tollfree | https://www.yellowpages-uae.com/abdul-karim-abdulla-a-c-and-refg-services-120062</t>
  </si>
  <si>
    <t>Abdul Mannan Ahmed Auto Paints &amp; Glass Tr.</t>
  </si>
  <si>
    <t>YellowPages UAE profile | mobile | https://www.yellowpages-uae.com/abdul-mannan-ahmed-auto-paints-glass-tr-176671</t>
  </si>
  <si>
    <t>YellowPages UAE profile | landline_or_tollfree | https://www.yellowpages-uae.com/abdul-rahim-m-a-al-zarooni-general-trading-105744</t>
  </si>
  <si>
    <t>Abdul Rahman Al Bah Building Materials Trading Co LLC</t>
  </si>
  <si>
    <t>YellowPages UAE profile | mobile | https://www.yellowpages-uae.com/abdul-rahman-al-bah-bldg-mat-trdg-co-llc-151181</t>
  </si>
  <si>
    <t>YellowPages UAE profile | landline_or_tollfree | https://www.yellowpages-uae.com/abdul-rahman-al-bah-bldg-mat-trdg-co-llc-151181</t>
  </si>
  <si>
    <t>Abdul Rahman Al Mouni Tyres Services</t>
  </si>
  <si>
    <t>YellowPages UAE profile | mobile | https://www.yellowpages-uae.com/abdul-rahman-al-mouni-tyres-services-123271</t>
  </si>
  <si>
    <t>YellowPages UAE profile | landline_or_tollfree | https://www.yellowpages-uae.com/abdul-rahman-al-mouni-tyres-services-123271</t>
  </si>
  <si>
    <t>Abdul Rahman Karrani &amp; Sons Co</t>
  </si>
  <si>
    <t>YellowPages UAE profile | landline_or_tollfree | https://www.yellowpages-uae.com/abdul-rahman-karrani-sons-co-148783</t>
  </si>
  <si>
    <t>Abdul Razak Al Zarouni Chartered Accountants</t>
  </si>
  <si>
    <t>YellowPages UAE profile | landline_or_tollfree | https://www.yellowpages-uae.com/abdul-razak-al-zarouni-chartered-accountants-169835</t>
  </si>
  <si>
    <t>Abdul Razak Haji Grocery LLC</t>
  </si>
  <si>
    <t>YellowPages UAE profile | landline_or_tollfree | https://www.yellowpages-uae.com/abdul-razak-haji-grocery-llc-166515</t>
  </si>
  <si>
    <t>Abdul Razzaq Auto Glass</t>
  </si>
  <si>
    <t>YellowPages UAE profile | mobile | https://www.yellowpages-uae.com/abdul-razzaq-auto-glass-150001</t>
  </si>
  <si>
    <t>Abdul Saeed Abdul Hameed Scrap Metal Alum and Copper Scrap Tr</t>
  </si>
  <si>
    <t>YellowPages UAE profile | mobile | https://www.yellowpages-uae.com/abdul-saeed-abdul-hameed-scrap-metal-alum-and-copper-scrap-tr-189176</t>
  </si>
  <si>
    <t>Anwar Al Bashaier Bldg Mat Tr Co LLC</t>
  </si>
  <si>
    <t>YellowPages UAE profile | mobile | https://www.yellowpages-uae.com/a-al-bashaier-trading-corp-116317</t>
  </si>
  <si>
    <t>YellowPages UAE profile | landline_or_tollfree | https://www.yellowpages-uae.com/a-al-bashaier-trading-corp-116317</t>
  </si>
  <si>
    <t>A-Test Group</t>
  </si>
  <si>
    <t>YellowPages UAE profile | landline_or_tollfree | https://www.yellowpages-uae.com/a-test-group-139586</t>
  </si>
  <si>
    <t>A to Z Steel Company LLC</t>
  </si>
  <si>
    <t>Umm Al Quwain</t>
  </si>
  <si>
    <t>YellowPages UAE profile | mobile | https://www.yellowpages-uae.com/a-to-z-steel-company-llc-111575</t>
  </si>
  <si>
    <t>YellowPages UAE profile | landline_or_tollfree | https://www.yellowpages-uae.com/a-to-z-steel-company-llc-111575</t>
  </si>
  <si>
    <t>A1 Carton and Packaging Industry LLC</t>
  </si>
  <si>
    <t>YellowPages UAE profile | mobile | https://www.yellowpages-uae.com/a1-carton-and-packaging-industry-llc-190042</t>
  </si>
  <si>
    <t>YellowPages UAE profile | landline_or_tollfree | https://www.yellowpages-uae.com/a1-carton-and-packaging-industry-llc-190042</t>
  </si>
  <si>
    <t>A1 Plastic Industry</t>
  </si>
  <si>
    <t>YellowPages UAE profile | mobile | https://www.yellowpages-uae.com/a1-plastic-industry-158326</t>
  </si>
  <si>
    <t>YellowPages UAE profile | landline_or_tollfree | https://www.yellowpages-uae.com/a1-plastic-industry-158326</t>
  </si>
  <si>
    <t>Abaft Middle East Transformer Industries LLC</t>
  </si>
  <si>
    <t>YellowPages UAE profile | landline_or_tollfree | https://www.yellowpages-uae.com/abaft-middle-east-transformer-industries-llc-153826</t>
  </si>
  <si>
    <t>YellowPages UAE profile | landline_or_tollfree | https://www.yellowpages-uae.com/abdos-lamitubes-manufacturing-llc-177519</t>
  </si>
  <si>
    <t>Abdul Gani Esmail Mohd Abdulla Supermarket</t>
  </si>
  <si>
    <t>YellowPages UAE profile | landline_or_tollfree | https://www.yellowpages-uae.com/abdul-gani-esmail-mohd-abdulla-supermarket-167566</t>
  </si>
  <si>
    <t>Abdul Rehman Mohamed Noor Embroidery &amp; Tailoring</t>
  </si>
  <si>
    <t>YellowPages UAE profile | mobile | https://www.yellowpages-uae.com/abdul-rehman-mohamed-noor-embroidery-tailoring-189741</t>
  </si>
  <si>
    <t>A-One Fire Fighting and Safety Equipments</t>
  </si>
  <si>
    <t>YellowPages UAE profile | mobile | https://www.yellowpages-uae.com/a-one-fire-fighting-and-safety-equipments-129803</t>
  </si>
  <si>
    <t>YellowPages UAE profile | landline_or_tollfree | https://www.yellowpages-uae.com/a-one-fire-fighting-and-safety-equipments-129803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</si>
</sst>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alignment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EBDF7-14D8-4ABA-A98F-4BA79A8E6A10}" name="T_LEADSTRACKER1000UA" displayName="T_LEADSTRACKER1000UA" ref="A1:J1001" totalsRowShown="0" headerRowDxfId="0">
  <autoFilter ref="A1:J1001" xr:uid="{4B8EBDF7-14D8-4ABA-A98F-4BA79A8E6A10}"/>
  <tableColumns count="10">
    <tableColumn id="1" xr3:uid="{51E1894D-0D56-4038-A0D9-34527F772AB1}" name="date" dataDxfId="5"/>
    <tableColumn id="2" xr3:uid="{A105E912-C811-4E1F-84A6-D4F9E7266E4D}" name="lead_name" dataDxfId="4"/>
    <tableColumn id="3" xr3:uid="{6900C29E-DAC6-4DD6-A59F-4B8DC0D92183}" name="business" dataDxfId="3"/>
    <tableColumn id="4" xr3:uid="{3685E593-BADA-4989-BF09-D55AB08A85CA}" name="area" dataDxfId="1"/>
    <tableColumn id="5" xr3:uid="{6D7B4026-BAEC-4F32-B99D-3CB568430309}" name="phone_or_link" dataDxfId="2"/>
    <tableColumn id="6" xr3:uid="{C4399DAD-EFA6-40E3-9DAB-5EE3A73599FC}" name="channel" dataDxfId="7"/>
    <tableColumn id="7" xr3:uid="{C4696604-030D-424A-B9B0-281A4744D4EE}" name="status" dataDxfId="6"/>
    <tableColumn id="8" xr3:uid="{CE4464B5-1DDB-4E51-A385-DB094AF5BD5A}" name="next_action"/>
    <tableColumn id="9" xr3:uid="{2F0954C1-F671-4BE0-8D6B-A58ED5FBE10D}" name="next_date" dataDxfId="8"/>
    <tableColumn id="10" xr3:uid="{FDEAD8EA-045A-436A-A0C3-BD0F7AF7F846}" name="note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066A-7461-4C83-B176-4D28327A1FAA}">
  <dimension ref="A1:J1001"/>
  <sheetViews>
    <sheetView tabSelected="1" workbookViewId="0"/>
  </sheetViews>
  <sheetFormatPr defaultRowHeight="13.8" x14ac:dyDescent="0.25"/>
  <cols>
    <col min="1" max="1" width="10.09765625" style="2" bestFit="1" customWidth="1"/>
    <col min="2" max="3" width="67" style="5" bestFit="1" customWidth="1"/>
    <col min="4" max="4" width="13.69921875" style="5" bestFit="1" customWidth="1"/>
    <col min="5" max="5" width="17.3984375" style="2" bestFit="1" customWidth="1"/>
    <col min="6" max="6" width="11.796875" style="2" bestFit="1" customWidth="1"/>
    <col min="7" max="7" width="10.19921875" style="2" bestFit="1" customWidth="1"/>
    <col min="8" max="8" width="30.796875" bestFit="1" customWidth="1"/>
    <col min="9" max="9" width="11.59765625" bestFit="1" customWidth="1"/>
    <col min="10" max="10" width="128.19921875" bestFit="1" customWidth="1"/>
  </cols>
  <sheetData>
    <row r="1" spans="1:10" s="8" customFormat="1" ht="25.0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3">
        <v>46086</v>
      </c>
      <c r="B2" s="5" t="s">
        <v>10</v>
      </c>
      <c r="C2" s="5" t="s">
        <v>10</v>
      </c>
      <c r="D2" s="5" t="s">
        <v>11</v>
      </c>
      <c r="E2" s="4" t="str">
        <f>"0097126411133"</f>
        <v>0097126411133</v>
      </c>
      <c r="F2" s="2" t="s">
        <v>12</v>
      </c>
      <c r="G2" s="2" t="s">
        <v>13</v>
      </c>
      <c r="H2" t="s">
        <v>14</v>
      </c>
      <c r="I2" s="1">
        <v>46086</v>
      </c>
      <c r="J2" t="s">
        <v>15</v>
      </c>
    </row>
    <row r="3" spans="1:10" x14ac:dyDescent="0.25">
      <c r="A3" s="3">
        <v>46086</v>
      </c>
      <c r="B3" s="5" t="s">
        <v>16</v>
      </c>
      <c r="C3" s="5" t="s">
        <v>16</v>
      </c>
      <c r="D3" s="5" t="s">
        <v>11</v>
      </c>
      <c r="E3" s="4" t="str">
        <f>"0097126411884"</f>
        <v>0097126411884</v>
      </c>
      <c r="F3" s="2" t="s">
        <v>12</v>
      </c>
      <c r="G3" s="2" t="s">
        <v>13</v>
      </c>
      <c r="H3" t="s">
        <v>14</v>
      </c>
      <c r="I3" s="1">
        <v>46086</v>
      </c>
      <c r="J3" t="s">
        <v>17</v>
      </c>
    </row>
    <row r="4" spans="1:10" x14ac:dyDescent="0.25">
      <c r="A4" s="3">
        <v>46086</v>
      </c>
      <c r="B4" s="5" t="s">
        <v>18</v>
      </c>
      <c r="C4" s="5" t="s">
        <v>18</v>
      </c>
      <c r="D4" s="5" t="s">
        <v>11</v>
      </c>
      <c r="E4" s="4" t="str">
        <f>"0097126506615"</f>
        <v>0097126506615</v>
      </c>
      <c r="F4" s="2" t="s">
        <v>12</v>
      </c>
      <c r="G4" s="2" t="s">
        <v>13</v>
      </c>
      <c r="H4" t="s">
        <v>14</v>
      </c>
      <c r="I4" s="1">
        <v>46086</v>
      </c>
      <c r="J4" t="s">
        <v>19</v>
      </c>
    </row>
    <row r="5" spans="1:10" x14ac:dyDescent="0.25">
      <c r="A5" s="3">
        <v>46086</v>
      </c>
      <c r="B5" s="5" t="s">
        <v>20</v>
      </c>
      <c r="C5" s="5" t="s">
        <v>20</v>
      </c>
      <c r="D5" s="5" t="s">
        <v>11</v>
      </c>
      <c r="E5" s="4" t="str">
        <f>"0097126273465"</f>
        <v>0097126273465</v>
      </c>
      <c r="F5" s="2" t="s">
        <v>12</v>
      </c>
      <c r="G5" s="2" t="s">
        <v>13</v>
      </c>
      <c r="H5" t="s">
        <v>14</v>
      </c>
      <c r="I5" s="1">
        <v>46086</v>
      </c>
      <c r="J5" t="s">
        <v>21</v>
      </c>
    </row>
    <row r="6" spans="1:10" x14ac:dyDescent="0.25">
      <c r="A6" s="3">
        <v>46086</v>
      </c>
      <c r="B6" s="5" t="s">
        <v>22</v>
      </c>
      <c r="C6" s="5" t="s">
        <v>22</v>
      </c>
      <c r="D6" s="5" t="s">
        <v>11</v>
      </c>
      <c r="E6" s="4" t="str">
        <f>"0097125961440"</f>
        <v>0097125961440</v>
      </c>
      <c r="F6" s="2" t="s">
        <v>12</v>
      </c>
      <c r="G6" s="2" t="s">
        <v>13</v>
      </c>
      <c r="H6" t="s">
        <v>14</v>
      </c>
      <c r="I6" s="1">
        <v>46086</v>
      </c>
      <c r="J6" t="s">
        <v>23</v>
      </c>
    </row>
    <row r="7" spans="1:10" x14ac:dyDescent="0.25">
      <c r="A7" s="3">
        <v>46086</v>
      </c>
      <c r="B7" s="5" t="s">
        <v>24</v>
      </c>
      <c r="C7" s="5" t="s">
        <v>24</v>
      </c>
      <c r="D7" s="5" t="s">
        <v>11</v>
      </c>
      <c r="E7" s="4" t="str">
        <f>"00971502646604"</f>
        <v>00971502646604</v>
      </c>
      <c r="F7" s="2" t="s">
        <v>12</v>
      </c>
      <c r="G7" s="2" t="s">
        <v>13</v>
      </c>
      <c r="H7" t="s">
        <v>14</v>
      </c>
      <c r="I7" s="1">
        <v>46086</v>
      </c>
      <c r="J7" t="s">
        <v>25</v>
      </c>
    </row>
    <row r="8" spans="1:10" x14ac:dyDescent="0.25">
      <c r="A8" s="3">
        <v>46086</v>
      </c>
      <c r="B8" s="5" t="s">
        <v>24</v>
      </c>
      <c r="C8" s="5" t="s">
        <v>24</v>
      </c>
      <c r="D8" s="5" t="s">
        <v>11</v>
      </c>
      <c r="E8" s="4" t="str">
        <f>"00971508188454"</f>
        <v>00971508188454</v>
      </c>
      <c r="F8" s="2" t="s">
        <v>12</v>
      </c>
      <c r="G8" s="2" t="s">
        <v>13</v>
      </c>
      <c r="H8" t="s">
        <v>14</v>
      </c>
      <c r="I8" s="1">
        <v>46086</v>
      </c>
      <c r="J8" t="s">
        <v>25</v>
      </c>
    </row>
    <row r="9" spans="1:10" x14ac:dyDescent="0.25">
      <c r="A9" s="3">
        <v>46086</v>
      </c>
      <c r="B9" s="5" t="s">
        <v>26</v>
      </c>
      <c r="C9" s="5" t="s">
        <v>26</v>
      </c>
      <c r="D9" s="5" t="s">
        <v>11</v>
      </c>
      <c r="E9" s="4" t="str">
        <f>"0097126315528"</f>
        <v>0097126315528</v>
      </c>
      <c r="F9" s="2" t="s">
        <v>12</v>
      </c>
      <c r="G9" s="2" t="s">
        <v>13</v>
      </c>
      <c r="H9" t="s">
        <v>14</v>
      </c>
      <c r="I9" s="1">
        <v>46086</v>
      </c>
      <c r="J9" t="s">
        <v>27</v>
      </c>
    </row>
    <row r="10" spans="1:10" x14ac:dyDescent="0.25">
      <c r="A10" s="3">
        <v>46086</v>
      </c>
      <c r="B10" s="5" t="s">
        <v>28</v>
      </c>
      <c r="C10" s="5" t="s">
        <v>28</v>
      </c>
      <c r="D10" s="5" t="s">
        <v>11</v>
      </c>
      <c r="E10" s="4" t="str">
        <f>"0097126777192"</f>
        <v>0097126777192</v>
      </c>
      <c r="F10" s="2" t="s">
        <v>12</v>
      </c>
      <c r="G10" s="2" t="s">
        <v>13</v>
      </c>
      <c r="H10" t="s">
        <v>14</v>
      </c>
      <c r="I10" s="1">
        <v>46086</v>
      </c>
      <c r="J10" t="s">
        <v>29</v>
      </c>
    </row>
    <row r="11" spans="1:10" x14ac:dyDescent="0.25">
      <c r="A11" s="3">
        <v>46086</v>
      </c>
      <c r="B11" s="5" t="s">
        <v>30</v>
      </c>
      <c r="C11" s="5" t="s">
        <v>30</v>
      </c>
      <c r="D11" s="5" t="s">
        <v>11</v>
      </c>
      <c r="E11" s="4" t="str">
        <f>"0097125510260"</f>
        <v>0097125510260</v>
      </c>
      <c r="F11" s="2" t="s">
        <v>12</v>
      </c>
      <c r="G11" s="2" t="s">
        <v>13</v>
      </c>
      <c r="H11" t="s">
        <v>14</v>
      </c>
      <c r="I11" s="1">
        <v>46086</v>
      </c>
      <c r="J11" t="s">
        <v>31</v>
      </c>
    </row>
    <row r="12" spans="1:10" x14ac:dyDescent="0.25">
      <c r="A12" s="3">
        <v>46086</v>
      </c>
      <c r="B12" s="5" t="s">
        <v>30</v>
      </c>
      <c r="C12" s="5" t="s">
        <v>30</v>
      </c>
      <c r="D12" s="5" t="s">
        <v>11</v>
      </c>
      <c r="E12" s="4" t="str">
        <f>"00971542886930"</f>
        <v>00971542886930</v>
      </c>
      <c r="F12" s="2" t="s">
        <v>12</v>
      </c>
      <c r="G12" s="2" t="s">
        <v>13</v>
      </c>
      <c r="H12" t="s">
        <v>14</v>
      </c>
      <c r="I12" s="1">
        <v>46086</v>
      </c>
      <c r="J12" t="s">
        <v>32</v>
      </c>
    </row>
    <row r="13" spans="1:10" x14ac:dyDescent="0.25">
      <c r="A13" s="3">
        <v>46086</v>
      </c>
      <c r="B13" s="5" t="s">
        <v>33</v>
      </c>
      <c r="C13" s="5" t="s">
        <v>33</v>
      </c>
      <c r="D13" s="5" t="s">
        <v>11</v>
      </c>
      <c r="E13" s="4" t="str">
        <f>"00971506570565"</f>
        <v>00971506570565</v>
      </c>
      <c r="F13" s="2" t="s">
        <v>12</v>
      </c>
      <c r="G13" s="2" t="s">
        <v>13</v>
      </c>
      <c r="H13" t="s">
        <v>14</v>
      </c>
      <c r="I13" s="1">
        <v>46086</v>
      </c>
      <c r="J13" t="s">
        <v>34</v>
      </c>
    </row>
    <row r="14" spans="1:10" x14ac:dyDescent="0.25">
      <c r="A14" s="3">
        <v>46086</v>
      </c>
      <c r="B14" s="5" t="s">
        <v>33</v>
      </c>
      <c r="C14" s="5" t="s">
        <v>33</v>
      </c>
      <c r="D14" s="5" t="s">
        <v>11</v>
      </c>
      <c r="E14" s="4" t="str">
        <f>"00971508278384"</f>
        <v>00971508278384</v>
      </c>
      <c r="F14" s="2" t="s">
        <v>12</v>
      </c>
      <c r="G14" s="2" t="s">
        <v>13</v>
      </c>
      <c r="H14" t="s">
        <v>14</v>
      </c>
      <c r="I14" s="1">
        <v>46086</v>
      </c>
      <c r="J14" t="s">
        <v>34</v>
      </c>
    </row>
    <row r="15" spans="1:10" x14ac:dyDescent="0.25">
      <c r="A15" s="3">
        <v>46086</v>
      </c>
      <c r="B15" s="5" t="s">
        <v>35</v>
      </c>
      <c r="C15" s="5" t="s">
        <v>35</v>
      </c>
      <c r="D15" s="5" t="s">
        <v>11</v>
      </c>
      <c r="E15" s="4" t="str">
        <f>"0097125659882"</f>
        <v>0097125659882</v>
      </c>
      <c r="F15" s="2" t="s">
        <v>12</v>
      </c>
      <c r="G15" s="2" t="s">
        <v>13</v>
      </c>
      <c r="H15" t="s">
        <v>14</v>
      </c>
      <c r="I15" s="1">
        <v>46086</v>
      </c>
      <c r="J15" t="s">
        <v>36</v>
      </c>
    </row>
    <row r="16" spans="1:10" x14ac:dyDescent="0.25">
      <c r="A16" s="3">
        <v>46086</v>
      </c>
      <c r="B16" s="5" t="s">
        <v>35</v>
      </c>
      <c r="C16" s="5" t="s">
        <v>35</v>
      </c>
      <c r="D16" s="5" t="s">
        <v>11</v>
      </c>
      <c r="E16" s="4" t="str">
        <f>"00971528662223"</f>
        <v>00971528662223</v>
      </c>
      <c r="F16" s="2" t="s">
        <v>12</v>
      </c>
      <c r="G16" s="2" t="s">
        <v>13</v>
      </c>
      <c r="H16" t="s">
        <v>14</v>
      </c>
      <c r="I16" s="1">
        <v>46086</v>
      </c>
      <c r="J16" t="s">
        <v>37</v>
      </c>
    </row>
    <row r="17" spans="1:10" x14ac:dyDescent="0.25">
      <c r="A17" s="3">
        <v>46086</v>
      </c>
      <c r="B17" s="5" t="s">
        <v>38</v>
      </c>
      <c r="C17" s="5" t="s">
        <v>38</v>
      </c>
      <c r="D17" s="5" t="s">
        <v>11</v>
      </c>
      <c r="E17" s="4" t="str">
        <f>"0097124476301"</f>
        <v>0097124476301</v>
      </c>
      <c r="F17" s="2" t="s">
        <v>12</v>
      </c>
      <c r="G17" s="2" t="s">
        <v>13</v>
      </c>
      <c r="H17" t="s">
        <v>14</v>
      </c>
      <c r="I17" s="1">
        <v>46086</v>
      </c>
      <c r="J17" t="s">
        <v>39</v>
      </c>
    </row>
    <row r="18" spans="1:10" x14ac:dyDescent="0.25">
      <c r="A18" s="3">
        <v>46086</v>
      </c>
      <c r="B18" s="5" t="s">
        <v>40</v>
      </c>
      <c r="C18" s="5" t="s">
        <v>40</v>
      </c>
      <c r="D18" s="5" t="s">
        <v>11</v>
      </c>
      <c r="E18" s="4" t="str">
        <f>"0097126215559"</f>
        <v>0097126215559</v>
      </c>
      <c r="F18" s="2" t="s">
        <v>12</v>
      </c>
      <c r="G18" s="2" t="s">
        <v>13</v>
      </c>
      <c r="H18" t="s">
        <v>14</v>
      </c>
      <c r="I18" s="1">
        <v>46086</v>
      </c>
      <c r="J18" t="s">
        <v>41</v>
      </c>
    </row>
    <row r="19" spans="1:10" x14ac:dyDescent="0.25">
      <c r="A19" s="3">
        <v>46086</v>
      </c>
      <c r="B19" s="5" t="s">
        <v>42</v>
      </c>
      <c r="C19" s="5" t="s">
        <v>42</v>
      </c>
      <c r="D19" s="5" t="s">
        <v>11</v>
      </c>
      <c r="E19" s="4" t="str">
        <f>"0097126458000"</f>
        <v>0097126458000</v>
      </c>
      <c r="F19" s="2" t="s">
        <v>12</v>
      </c>
      <c r="G19" s="2" t="s">
        <v>13</v>
      </c>
      <c r="H19" t="s">
        <v>14</v>
      </c>
      <c r="I19" s="1">
        <v>46086</v>
      </c>
      <c r="J19" t="s">
        <v>43</v>
      </c>
    </row>
    <row r="20" spans="1:10" x14ac:dyDescent="0.25">
      <c r="A20" s="3">
        <v>46086</v>
      </c>
      <c r="B20" s="5" t="s">
        <v>42</v>
      </c>
      <c r="C20" s="5" t="s">
        <v>42</v>
      </c>
      <c r="D20" s="5" t="s">
        <v>11</v>
      </c>
      <c r="E20" s="4" t="str">
        <f>"00971564014525"</f>
        <v>00971564014525</v>
      </c>
      <c r="F20" s="2" t="s">
        <v>12</v>
      </c>
      <c r="G20" s="2" t="s">
        <v>13</v>
      </c>
      <c r="H20" t="s">
        <v>14</v>
      </c>
      <c r="I20" s="1">
        <v>46086</v>
      </c>
      <c r="J20" t="s">
        <v>44</v>
      </c>
    </row>
    <row r="21" spans="1:10" x14ac:dyDescent="0.25">
      <c r="A21" s="3">
        <v>46086</v>
      </c>
      <c r="B21" s="5" t="s">
        <v>42</v>
      </c>
      <c r="C21" s="5" t="s">
        <v>42</v>
      </c>
      <c r="D21" s="5" t="s">
        <v>11</v>
      </c>
      <c r="E21" s="4" t="str">
        <f>"00971564065176"</f>
        <v>00971564065176</v>
      </c>
      <c r="F21" s="2" t="s">
        <v>12</v>
      </c>
      <c r="G21" s="2" t="s">
        <v>13</v>
      </c>
      <c r="H21" t="s">
        <v>14</v>
      </c>
      <c r="I21" s="1">
        <v>46086</v>
      </c>
      <c r="J21" t="s">
        <v>44</v>
      </c>
    </row>
    <row r="22" spans="1:10" x14ac:dyDescent="0.25">
      <c r="A22" s="3">
        <v>46086</v>
      </c>
      <c r="B22" s="5" t="s">
        <v>45</v>
      </c>
      <c r="C22" s="5" t="s">
        <v>45</v>
      </c>
      <c r="D22" s="5" t="s">
        <v>11</v>
      </c>
      <c r="E22" s="4" t="str">
        <f>"0097126815906"</f>
        <v>0097126815906</v>
      </c>
      <c r="F22" s="2" t="s">
        <v>12</v>
      </c>
      <c r="G22" s="2" t="s">
        <v>13</v>
      </c>
      <c r="H22" t="s">
        <v>14</v>
      </c>
      <c r="I22" s="1">
        <v>46086</v>
      </c>
      <c r="J22" t="s">
        <v>46</v>
      </c>
    </row>
    <row r="23" spans="1:10" x14ac:dyDescent="0.25">
      <c r="A23" s="3">
        <v>46086</v>
      </c>
      <c r="B23" s="5" t="s">
        <v>47</v>
      </c>
      <c r="C23" s="5" t="s">
        <v>47</v>
      </c>
      <c r="D23" s="5" t="s">
        <v>11</v>
      </c>
      <c r="E23" s="4" t="str">
        <f>"0097125462298"</f>
        <v>0097125462298</v>
      </c>
      <c r="F23" s="2" t="s">
        <v>12</v>
      </c>
      <c r="G23" s="2" t="s">
        <v>13</v>
      </c>
      <c r="H23" t="s">
        <v>14</v>
      </c>
      <c r="I23" s="1">
        <v>46086</v>
      </c>
      <c r="J23" t="s">
        <v>48</v>
      </c>
    </row>
    <row r="24" spans="1:10" x14ac:dyDescent="0.25">
      <c r="A24" s="3">
        <v>46086</v>
      </c>
      <c r="B24" s="5" t="s">
        <v>49</v>
      </c>
      <c r="C24" s="5" t="s">
        <v>49</v>
      </c>
      <c r="D24" s="5" t="s">
        <v>11</v>
      </c>
      <c r="E24" s="4" t="str">
        <f>"0097125462298"</f>
        <v>0097125462298</v>
      </c>
      <c r="F24" s="2" t="s">
        <v>12</v>
      </c>
      <c r="G24" s="2" t="s">
        <v>13</v>
      </c>
      <c r="H24" t="s">
        <v>14</v>
      </c>
      <c r="I24" s="1">
        <v>46086</v>
      </c>
      <c r="J24" t="s">
        <v>50</v>
      </c>
    </row>
    <row r="25" spans="1:10" x14ac:dyDescent="0.25">
      <c r="A25" s="3">
        <v>46086</v>
      </c>
      <c r="B25" s="5" t="s">
        <v>49</v>
      </c>
      <c r="C25" s="5" t="s">
        <v>49</v>
      </c>
      <c r="D25" s="5" t="s">
        <v>11</v>
      </c>
      <c r="E25" s="4" t="str">
        <f>"00971529102069"</f>
        <v>00971529102069</v>
      </c>
      <c r="F25" s="2" t="s">
        <v>12</v>
      </c>
      <c r="G25" s="2" t="s">
        <v>13</v>
      </c>
      <c r="H25" t="s">
        <v>14</v>
      </c>
      <c r="I25" s="1">
        <v>46086</v>
      </c>
      <c r="J25" t="s">
        <v>51</v>
      </c>
    </row>
    <row r="26" spans="1:10" x14ac:dyDescent="0.25">
      <c r="A26" s="3">
        <v>46086</v>
      </c>
      <c r="B26" s="5" t="s">
        <v>52</v>
      </c>
      <c r="C26" s="5" t="s">
        <v>52</v>
      </c>
      <c r="D26" s="5" t="s">
        <v>11</v>
      </c>
      <c r="E26" s="4" t="str">
        <f>"0097126419552"</f>
        <v>0097126419552</v>
      </c>
      <c r="F26" s="2" t="s">
        <v>12</v>
      </c>
      <c r="G26" s="2" t="s">
        <v>13</v>
      </c>
      <c r="H26" t="s">
        <v>14</v>
      </c>
      <c r="I26" s="1">
        <v>46086</v>
      </c>
      <c r="J26" t="s">
        <v>53</v>
      </c>
    </row>
    <row r="27" spans="1:10" x14ac:dyDescent="0.25">
      <c r="A27" s="3">
        <v>46086</v>
      </c>
      <c r="B27" s="5" t="s">
        <v>54</v>
      </c>
      <c r="C27" s="5" t="s">
        <v>54</v>
      </c>
      <c r="D27" s="5" t="s">
        <v>11</v>
      </c>
      <c r="E27" s="4" t="str">
        <f>"0097124988008"</f>
        <v>0097124988008</v>
      </c>
      <c r="F27" s="2" t="s">
        <v>12</v>
      </c>
      <c r="G27" s="2" t="s">
        <v>13</v>
      </c>
      <c r="H27" t="s">
        <v>14</v>
      </c>
      <c r="I27" s="1">
        <v>46086</v>
      </c>
      <c r="J27" t="s">
        <v>55</v>
      </c>
    </row>
    <row r="28" spans="1:10" x14ac:dyDescent="0.25">
      <c r="A28" s="3">
        <v>46086</v>
      </c>
      <c r="B28" s="5" t="s">
        <v>56</v>
      </c>
      <c r="C28" s="5" t="s">
        <v>56</v>
      </c>
      <c r="D28" s="5" t="s">
        <v>11</v>
      </c>
      <c r="E28" s="4" t="str">
        <f>"0097124988008"</f>
        <v>0097124988008</v>
      </c>
      <c r="F28" s="2" t="s">
        <v>12</v>
      </c>
      <c r="G28" s="2" t="s">
        <v>13</v>
      </c>
      <c r="H28" t="s">
        <v>14</v>
      </c>
      <c r="I28" s="1">
        <v>46086</v>
      </c>
      <c r="J28" t="s">
        <v>57</v>
      </c>
    </row>
    <row r="29" spans="1:10" x14ac:dyDescent="0.25">
      <c r="A29" s="3">
        <v>46086</v>
      </c>
      <c r="B29" s="5" t="s">
        <v>58</v>
      </c>
      <c r="C29" s="5" t="s">
        <v>58</v>
      </c>
      <c r="D29" s="5" t="s">
        <v>11</v>
      </c>
      <c r="E29" s="4" t="str">
        <f>"0097126716611"</f>
        <v>0097126716611</v>
      </c>
      <c r="F29" s="2" t="s">
        <v>12</v>
      </c>
      <c r="G29" s="2" t="s">
        <v>13</v>
      </c>
      <c r="H29" t="s">
        <v>14</v>
      </c>
      <c r="I29" s="1">
        <v>46086</v>
      </c>
      <c r="J29" t="s">
        <v>59</v>
      </c>
    </row>
    <row r="30" spans="1:10" x14ac:dyDescent="0.25">
      <c r="A30" s="3">
        <v>46086</v>
      </c>
      <c r="B30" s="5" t="s">
        <v>60</v>
      </c>
      <c r="C30" s="5" t="s">
        <v>60</v>
      </c>
      <c r="D30" s="5" t="s">
        <v>11</v>
      </c>
      <c r="E30" s="4" t="str">
        <f>"00971558921193"</f>
        <v>00971558921193</v>
      </c>
      <c r="F30" s="2" t="s">
        <v>12</v>
      </c>
      <c r="G30" s="2" t="s">
        <v>13</v>
      </c>
      <c r="H30" t="s">
        <v>14</v>
      </c>
      <c r="I30" s="1">
        <v>46086</v>
      </c>
      <c r="J30" t="s">
        <v>61</v>
      </c>
    </row>
    <row r="31" spans="1:10" x14ac:dyDescent="0.25">
      <c r="A31" s="3">
        <v>46086</v>
      </c>
      <c r="B31" s="5" t="s">
        <v>62</v>
      </c>
      <c r="C31" s="5" t="s">
        <v>62</v>
      </c>
      <c r="D31" s="5" t="s">
        <v>11</v>
      </c>
      <c r="E31" s="4" t="str">
        <f>"0097126265610"</f>
        <v>0097126265610</v>
      </c>
      <c r="F31" s="2" t="s">
        <v>12</v>
      </c>
      <c r="G31" s="2" t="s">
        <v>13</v>
      </c>
      <c r="H31" t="s">
        <v>14</v>
      </c>
      <c r="I31" s="1">
        <v>46086</v>
      </c>
      <c r="J31" t="s">
        <v>63</v>
      </c>
    </row>
    <row r="32" spans="1:10" x14ac:dyDescent="0.25">
      <c r="A32" s="3">
        <v>46086</v>
      </c>
      <c r="B32" s="5" t="s">
        <v>64</v>
      </c>
      <c r="C32" s="5" t="s">
        <v>64</v>
      </c>
      <c r="D32" s="5" t="s">
        <v>11</v>
      </c>
      <c r="E32" s="4" t="str">
        <f>"0097126344131"</f>
        <v>0097126344131</v>
      </c>
      <c r="F32" s="2" t="s">
        <v>12</v>
      </c>
      <c r="G32" s="2" t="s">
        <v>13</v>
      </c>
      <c r="H32" t="s">
        <v>14</v>
      </c>
      <c r="I32" s="1">
        <v>46086</v>
      </c>
      <c r="J32" t="s">
        <v>65</v>
      </c>
    </row>
    <row r="33" spans="1:10" x14ac:dyDescent="0.25">
      <c r="A33" s="3">
        <v>46086</v>
      </c>
      <c r="B33" s="5" t="s">
        <v>66</v>
      </c>
      <c r="C33" s="5" t="s">
        <v>66</v>
      </c>
      <c r="D33" s="5" t="s">
        <v>11</v>
      </c>
      <c r="E33" s="4" t="str">
        <f>"0097125540851"</f>
        <v>0097125540851</v>
      </c>
      <c r="F33" s="2" t="s">
        <v>12</v>
      </c>
      <c r="G33" s="2" t="s">
        <v>13</v>
      </c>
      <c r="H33" t="s">
        <v>14</v>
      </c>
      <c r="I33" s="1">
        <v>46086</v>
      </c>
      <c r="J33" t="s">
        <v>67</v>
      </c>
    </row>
    <row r="34" spans="1:10" x14ac:dyDescent="0.25">
      <c r="A34" s="3">
        <v>46086</v>
      </c>
      <c r="B34" s="5" t="s">
        <v>68</v>
      </c>
      <c r="C34" s="5" t="s">
        <v>68</v>
      </c>
      <c r="D34" s="5" t="s">
        <v>11</v>
      </c>
      <c r="E34" s="4" t="str">
        <f>"00971554753223"</f>
        <v>00971554753223</v>
      </c>
      <c r="F34" s="2" t="s">
        <v>12</v>
      </c>
      <c r="G34" s="2" t="s">
        <v>13</v>
      </c>
      <c r="H34" t="s">
        <v>14</v>
      </c>
      <c r="I34" s="1">
        <v>46086</v>
      </c>
      <c r="J34" t="s">
        <v>69</v>
      </c>
    </row>
    <row r="35" spans="1:10" x14ac:dyDescent="0.25">
      <c r="A35" s="3">
        <v>46086</v>
      </c>
      <c r="B35" s="5" t="s">
        <v>68</v>
      </c>
      <c r="C35" s="5" t="s">
        <v>68</v>
      </c>
      <c r="D35" s="5" t="s">
        <v>11</v>
      </c>
      <c r="E35" s="4" t="str">
        <f>"00971556066521"</f>
        <v>00971556066521</v>
      </c>
      <c r="F35" s="2" t="s">
        <v>12</v>
      </c>
      <c r="G35" s="2" t="s">
        <v>13</v>
      </c>
      <c r="H35" t="s">
        <v>14</v>
      </c>
      <c r="I35" s="1">
        <v>46086</v>
      </c>
      <c r="J35" t="s">
        <v>69</v>
      </c>
    </row>
    <row r="36" spans="1:10" x14ac:dyDescent="0.25">
      <c r="A36" s="3">
        <v>46086</v>
      </c>
      <c r="B36" s="5" t="s">
        <v>70</v>
      </c>
      <c r="C36" s="5" t="s">
        <v>70</v>
      </c>
      <c r="D36" s="5" t="s">
        <v>11</v>
      </c>
      <c r="E36" s="4" t="str">
        <f>"0097124445800"</f>
        <v>0097124445800</v>
      </c>
      <c r="F36" s="2" t="s">
        <v>12</v>
      </c>
      <c r="G36" s="2" t="s">
        <v>13</v>
      </c>
      <c r="H36" t="s">
        <v>14</v>
      </c>
      <c r="I36" s="1">
        <v>46086</v>
      </c>
      <c r="J36" t="s">
        <v>71</v>
      </c>
    </row>
    <row r="37" spans="1:10" x14ac:dyDescent="0.25">
      <c r="A37" s="3">
        <v>46086</v>
      </c>
      <c r="B37" s="5" t="s">
        <v>72</v>
      </c>
      <c r="C37" s="5" t="s">
        <v>72</v>
      </c>
      <c r="D37" s="5" t="s">
        <v>11</v>
      </c>
      <c r="E37" s="4" t="str">
        <f>"0097126418637"</f>
        <v>0097126418637</v>
      </c>
      <c r="F37" s="2" t="s">
        <v>12</v>
      </c>
      <c r="G37" s="2" t="s">
        <v>13</v>
      </c>
      <c r="H37" t="s">
        <v>14</v>
      </c>
      <c r="I37" s="1">
        <v>46086</v>
      </c>
      <c r="J37" t="s">
        <v>73</v>
      </c>
    </row>
    <row r="38" spans="1:10" x14ac:dyDescent="0.25">
      <c r="A38" s="3">
        <v>46086</v>
      </c>
      <c r="B38" s="5" t="s">
        <v>74</v>
      </c>
      <c r="C38" s="5" t="s">
        <v>74</v>
      </c>
      <c r="D38" s="5" t="s">
        <v>11</v>
      </c>
      <c r="E38" s="4" t="str">
        <f>"0097143306116"</f>
        <v>0097143306116</v>
      </c>
      <c r="F38" s="2" t="s">
        <v>12</v>
      </c>
      <c r="G38" s="2" t="s">
        <v>13</v>
      </c>
      <c r="H38" t="s">
        <v>14</v>
      </c>
      <c r="I38" s="1">
        <v>46086</v>
      </c>
      <c r="J38" t="s">
        <v>75</v>
      </c>
    </row>
    <row r="39" spans="1:10" x14ac:dyDescent="0.25">
      <c r="A39" s="3">
        <v>46086</v>
      </c>
      <c r="B39" s="5" t="s">
        <v>76</v>
      </c>
      <c r="C39" s="5" t="s">
        <v>76</v>
      </c>
      <c r="D39" s="5" t="s">
        <v>11</v>
      </c>
      <c r="E39" s="4" t="str">
        <f>"0097125500917"</f>
        <v>0097125500917</v>
      </c>
      <c r="F39" s="2" t="s">
        <v>12</v>
      </c>
      <c r="G39" s="2" t="s">
        <v>13</v>
      </c>
      <c r="H39" t="s">
        <v>14</v>
      </c>
      <c r="I39" s="1">
        <v>46086</v>
      </c>
      <c r="J39" t="s">
        <v>77</v>
      </c>
    </row>
    <row r="40" spans="1:10" x14ac:dyDescent="0.25">
      <c r="A40" s="3">
        <v>46086</v>
      </c>
      <c r="B40" s="5" t="s">
        <v>78</v>
      </c>
      <c r="C40" s="5" t="s">
        <v>78</v>
      </c>
      <c r="D40" s="5" t="s">
        <v>11</v>
      </c>
      <c r="E40" s="4" t="str">
        <f>"0097126777100"</f>
        <v>0097126777100</v>
      </c>
      <c r="F40" s="2" t="s">
        <v>12</v>
      </c>
      <c r="G40" s="2" t="s">
        <v>13</v>
      </c>
      <c r="H40" t="s">
        <v>14</v>
      </c>
      <c r="I40" s="1">
        <v>46086</v>
      </c>
      <c r="J40" t="s">
        <v>79</v>
      </c>
    </row>
    <row r="41" spans="1:10" x14ac:dyDescent="0.25">
      <c r="A41" s="3">
        <v>46086</v>
      </c>
      <c r="B41" s="5" t="s">
        <v>80</v>
      </c>
      <c r="C41" s="5" t="s">
        <v>80</v>
      </c>
      <c r="D41" s="5" t="s">
        <v>11</v>
      </c>
      <c r="E41" s="4" t="str">
        <f>"0097126219929"</f>
        <v>0097126219929</v>
      </c>
      <c r="F41" s="2" t="s">
        <v>12</v>
      </c>
      <c r="G41" s="2" t="s">
        <v>13</v>
      </c>
      <c r="H41" t="s">
        <v>14</v>
      </c>
      <c r="I41" s="1">
        <v>46086</v>
      </c>
      <c r="J41" t="s">
        <v>81</v>
      </c>
    </row>
    <row r="42" spans="1:10" x14ac:dyDescent="0.25">
      <c r="A42" s="3">
        <v>46086</v>
      </c>
      <c r="B42" s="5" t="s">
        <v>82</v>
      </c>
      <c r="C42" s="5" t="s">
        <v>82</v>
      </c>
      <c r="D42" s="5" t="s">
        <v>11</v>
      </c>
      <c r="E42" s="4" t="str">
        <f>"00971506155869"</f>
        <v>00971506155869</v>
      </c>
      <c r="F42" s="2" t="s">
        <v>12</v>
      </c>
      <c r="G42" s="2" t="s">
        <v>13</v>
      </c>
      <c r="H42" t="s">
        <v>14</v>
      </c>
      <c r="I42" s="1">
        <v>46086</v>
      </c>
      <c r="J42" t="s">
        <v>83</v>
      </c>
    </row>
    <row r="43" spans="1:10" x14ac:dyDescent="0.25">
      <c r="A43" s="3">
        <v>46086</v>
      </c>
      <c r="B43" s="5" t="s">
        <v>84</v>
      </c>
      <c r="C43" s="5" t="s">
        <v>84</v>
      </c>
      <c r="D43" s="5" t="s">
        <v>11</v>
      </c>
      <c r="E43" s="4" t="str">
        <f>"0097125511662"</f>
        <v>0097125511662</v>
      </c>
      <c r="F43" s="2" t="s">
        <v>12</v>
      </c>
      <c r="G43" s="2" t="s">
        <v>13</v>
      </c>
      <c r="H43" t="s">
        <v>14</v>
      </c>
      <c r="I43" s="1">
        <v>46086</v>
      </c>
      <c r="J43" t="s">
        <v>85</v>
      </c>
    </row>
    <row r="44" spans="1:10" x14ac:dyDescent="0.25">
      <c r="A44" s="3">
        <v>46086</v>
      </c>
      <c r="B44" s="5" t="s">
        <v>86</v>
      </c>
      <c r="C44" s="5" t="s">
        <v>86</v>
      </c>
      <c r="D44" s="5" t="s">
        <v>11</v>
      </c>
      <c r="E44" s="4" t="str">
        <f>"0097126720041"</f>
        <v>0097126720041</v>
      </c>
      <c r="F44" s="2" t="s">
        <v>12</v>
      </c>
      <c r="G44" s="2" t="s">
        <v>13</v>
      </c>
      <c r="H44" t="s">
        <v>14</v>
      </c>
      <c r="I44" s="1">
        <v>46086</v>
      </c>
      <c r="J44" t="s">
        <v>87</v>
      </c>
    </row>
    <row r="45" spans="1:10" x14ac:dyDescent="0.25">
      <c r="A45" s="3">
        <v>46086</v>
      </c>
      <c r="B45" s="5" t="s">
        <v>88</v>
      </c>
      <c r="C45" s="5" t="s">
        <v>88</v>
      </c>
      <c r="D45" s="5" t="s">
        <v>11</v>
      </c>
      <c r="E45" s="4" t="str">
        <f>"0097124451724"</f>
        <v>0097124451724</v>
      </c>
      <c r="F45" s="2" t="s">
        <v>12</v>
      </c>
      <c r="G45" s="2" t="s">
        <v>13</v>
      </c>
      <c r="H45" t="s">
        <v>14</v>
      </c>
      <c r="I45" s="1">
        <v>46086</v>
      </c>
      <c r="J45" t="s">
        <v>89</v>
      </c>
    </row>
    <row r="46" spans="1:10" x14ac:dyDescent="0.25">
      <c r="A46" s="3">
        <v>46086</v>
      </c>
      <c r="B46" s="5" t="s">
        <v>90</v>
      </c>
      <c r="C46" s="5" t="s">
        <v>90</v>
      </c>
      <c r="D46" s="5" t="s">
        <v>11</v>
      </c>
      <c r="E46" s="4" t="str">
        <f>"0097125525447"</f>
        <v>0097125525447</v>
      </c>
      <c r="F46" s="2" t="s">
        <v>12</v>
      </c>
      <c r="G46" s="2" t="s">
        <v>13</v>
      </c>
      <c r="H46" t="s">
        <v>14</v>
      </c>
      <c r="I46" s="1">
        <v>46086</v>
      </c>
      <c r="J46" t="s">
        <v>91</v>
      </c>
    </row>
    <row r="47" spans="1:10" x14ac:dyDescent="0.25">
      <c r="A47" s="3">
        <v>46086</v>
      </c>
      <c r="B47" s="5" t="s">
        <v>90</v>
      </c>
      <c r="C47" s="5" t="s">
        <v>90</v>
      </c>
      <c r="D47" s="5" t="s">
        <v>11</v>
      </c>
      <c r="E47" s="4" t="str">
        <f>"00971509096003"</f>
        <v>00971509096003</v>
      </c>
      <c r="F47" s="2" t="s">
        <v>12</v>
      </c>
      <c r="G47" s="2" t="s">
        <v>13</v>
      </c>
      <c r="H47" t="s">
        <v>14</v>
      </c>
      <c r="I47" s="1">
        <v>46086</v>
      </c>
      <c r="J47" t="s">
        <v>92</v>
      </c>
    </row>
    <row r="48" spans="1:10" x14ac:dyDescent="0.25">
      <c r="A48" s="3">
        <v>46086</v>
      </c>
      <c r="B48" s="5" t="s">
        <v>93</v>
      </c>
      <c r="C48" s="5" t="s">
        <v>93</v>
      </c>
      <c r="D48" s="5" t="s">
        <v>11</v>
      </c>
      <c r="E48" s="4" t="str">
        <f>"0097126723923"</f>
        <v>0097126723923</v>
      </c>
      <c r="F48" s="2" t="s">
        <v>12</v>
      </c>
      <c r="G48" s="2" t="s">
        <v>13</v>
      </c>
      <c r="H48" t="s">
        <v>14</v>
      </c>
      <c r="I48" s="1">
        <v>46086</v>
      </c>
      <c r="J48" t="s">
        <v>94</v>
      </c>
    </row>
    <row r="49" spans="1:10" x14ac:dyDescent="0.25">
      <c r="A49" s="3">
        <v>46086</v>
      </c>
      <c r="B49" s="5" t="s">
        <v>95</v>
      </c>
      <c r="C49" s="5" t="s">
        <v>95</v>
      </c>
      <c r="D49" s="5" t="s">
        <v>11</v>
      </c>
      <c r="E49" s="4" t="str">
        <f>"0097126768333"</f>
        <v>0097126768333</v>
      </c>
      <c r="F49" s="2" t="s">
        <v>12</v>
      </c>
      <c r="G49" s="2" t="s">
        <v>13</v>
      </c>
      <c r="H49" t="s">
        <v>14</v>
      </c>
      <c r="I49" s="1">
        <v>46086</v>
      </c>
      <c r="J49" t="s">
        <v>96</v>
      </c>
    </row>
    <row r="50" spans="1:10" x14ac:dyDescent="0.25">
      <c r="A50" s="3">
        <v>46086</v>
      </c>
      <c r="B50" s="5" t="s">
        <v>97</v>
      </c>
      <c r="C50" s="5" t="s">
        <v>97</v>
      </c>
      <c r="D50" s="5" t="s">
        <v>11</v>
      </c>
      <c r="E50" s="4" t="str">
        <f>"0097125175120"</f>
        <v>0097125175120</v>
      </c>
      <c r="F50" s="2" t="s">
        <v>12</v>
      </c>
      <c r="G50" s="2" t="s">
        <v>13</v>
      </c>
      <c r="H50" t="s">
        <v>14</v>
      </c>
      <c r="I50" s="1">
        <v>46086</v>
      </c>
      <c r="J50" t="s">
        <v>98</v>
      </c>
    </row>
    <row r="51" spans="1:10" x14ac:dyDescent="0.25">
      <c r="A51" s="3">
        <v>46086</v>
      </c>
      <c r="B51" s="5" t="s">
        <v>97</v>
      </c>
      <c r="C51" s="5" t="s">
        <v>97</v>
      </c>
      <c r="D51" s="5" t="s">
        <v>11</v>
      </c>
      <c r="E51" s="4" t="str">
        <f>"00971555995576"</f>
        <v>00971555995576</v>
      </c>
      <c r="F51" s="2" t="s">
        <v>12</v>
      </c>
      <c r="G51" s="2" t="s">
        <v>13</v>
      </c>
      <c r="H51" t="s">
        <v>14</v>
      </c>
      <c r="I51" s="1">
        <v>46086</v>
      </c>
      <c r="J51" t="s">
        <v>99</v>
      </c>
    </row>
    <row r="52" spans="1:10" x14ac:dyDescent="0.25">
      <c r="A52" s="3">
        <v>46086</v>
      </c>
      <c r="B52" s="5" t="s">
        <v>100</v>
      </c>
      <c r="C52" s="5" t="s">
        <v>100</v>
      </c>
      <c r="D52" s="5" t="s">
        <v>11</v>
      </c>
      <c r="E52" s="4" t="str">
        <f>"0097124489744"</f>
        <v>0097124489744</v>
      </c>
      <c r="F52" s="2" t="s">
        <v>12</v>
      </c>
      <c r="G52" s="2" t="s">
        <v>13</v>
      </c>
      <c r="H52" t="s">
        <v>14</v>
      </c>
      <c r="I52" s="1">
        <v>46086</v>
      </c>
      <c r="J52" t="s">
        <v>101</v>
      </c>
    </row>
    <row r="53" spans="1:10" x14ac:dyDescent="0.25">
      <c r="A53" s="3">
        <v>46086</v>
      </c>
      <c r="B53" s="5" t="s">
        <v>102</v>
      </c>
      <c r="C53" s="5" t="s">
        <v>102</v>
      </c>
      <c r="D53" s="5" t="s">
        <v>11</v>
      </c>
      <c r="E53" s="4" t="str">
        <f>"00971563808834"</f>
        <v>00971563808834</v>
      </c>
      <c r="F53" s="2" t="s">
        <v>12</v>
      </c>
      <c r="G53" s="2" t="s">
        <v>13</v>
      </c>
      <c r="H53" t="s">
        <v>14</v>
      </c>
      <c r="I53" s="1">
        <v>46086</v>
      </c>
      <c r="J53" t="s">
        <v>103</v>
      </c>
    </row>
    <row r="54" spans="1:10" x14ac:dyDescent="0.25">
      <c r="A54" s="3">
        <v>46086</v>
      </c>
      <c r="B54" s="5" t="s">
        <v>102</v>
      </c>
      <c r="C54" s="5" t="s">
        <v>102</v>
      </c>
      <c r="D54" s="5" t="s">
        <v>11</v>
      </c>
      <c r="E54" s="4" t="str">
        <f>"00971569420408"</f>
        <v>00971569420408</v>
      </c>
      <c r="F54" s="2" t="s">
        <v>12</v>
      </c>
      <c r="G54" s="2" t="s">
        <v>13</v>
      </c>
      <c r="H54" t="s">
        <v>14</v>
      </c>
      <c r="I54" s="1">
        <v>46086</v>
      </c>
      <c r="J54" t="s">
        <v>103</v>
      </c>
    </row>
    <row r="55" spans="1:10" x14ac:dyDescent="0.25">
      <c r="A55" s="3">
        <v>46086</v>
      </c>
      <c r="B55" s="5" t="s">
        <v>104</v>
      </c>
      <c r="C55" s="5" t="s">
        <v>104</v>
      </c>
      <c r="D55" s="5" t="s">
        <v>11</v>
      </c>
      <c r="E55" s="4" t="str">
        <f>"0097126507333"</f>
        <v>0097126507333</v>
      </c>
      <c r="F55" s="2" t="s">
        <v>12</v>
      </c>
      <c r="G55" s="2" t="s">
        <v>13</v>
      </c>
      <c r="H55" t="s">
        <v>14</v>
      </c>
      <c r="I55" s="1">
        <v>46086</v>
      </c>
      <c r="J55" t="s">
        <v>105</v>
      </c>
    </row>
    <row r="56" spans="1:10" x14ac:dyDescent="0.25">
      <c r="A56" s="3">
        <v>46086</v>
      </c>
      <c r="B56" s="5" t="s">
        <v>106</v>
      </c>
      <c r="C56" s="5" t="s">
        <v>106</v>
      </c>
      <c r="D56" s="5" t="s">
        <v>11</v>
      </c>
      <c r="E56" s="4" t="str">
        <f>"0097125512236"</f>
        <v>0097125512236</v>
      </c>
      <c r="F56" s="2" t="s">
        <v>12</v>
      </c>
      <c r="G56" s="2" t="s">
        <v>13</v>
      </c>
      <c r="H56" t="s">
        <v>14</v>
      </c>
      <c r="I56" s="1">
        <v>46086</v>
      </c>
      <c r="J56" t="s">
        <v>107</v>
      </c>
    </row>
    <row r="57" spans="1:10" x14ac:dyDescent="0.25">
      <c r="A57" s="3">
        <v>46086</v>
      </c>
      <c r="B57" s="5" t="s">
        <v>106</v>
      </c>
      <c r="C57" s="5" t="s">
        <v>106</v>
      </c>
      <c r="D57" s="5" t="s">
        <v>11</v>
      </c>
      <c r="E57" s="4" t="str">
        <f>"00971507914947"</f>
        <v>00971507914947</v>
      </c>
      <c r="F57" s="2" t="s">
        <v>12</v>
      </c>
      <c r="G57" s="2" t="s">
        <v>13</v>
      </c>
      <c r="H57" t="s">
        <v>14</v>
      </c>
      <c r="I57" s="1">
        <v>46086</v>
      </c>
      <c r="J57" t="s">
        <v>108</v>
      </c>
    </row>
    <row r="58" spans="1:10" x14ac:dyDescent="0.25">
      <c r="A58" s="3">
        <v>46086</v>
      </c>
      <c r="B58" s="5" t="s">
        <v>109</v>
      </c>
      <c r="C58" s="5" t="s">
        <v>109</v>
      </c>
      <c r="D58" s="5" t="s">
        <v>11</v>
      </c>
      <c r="E58" s="4" t="str">
        <f>"0097126771162"</f>
        <v>0097126771162</v>
      </c>
      <c r="F58" s="2" t="s">
        <v>12</v>
      </c>
      <c r="G58" s="2" t="s">
        <v>13</v>
      </c>
      <c r="H58" t="s">
        <v>14</v>
      </c>
      <c r="I58" s="1">
        <v>46086</v>
      </c>
      <c r="J58" t="s">
        <v>110</v>
      </c>
    </row>
    <row r="59" spans="1:10" x14ac:dyDescent="0.25">
      <c r="A59" s="3">
        <v>46086</v>
      </c>
      <c r="B59" s="5" t="s">
        <v>111</v>
      </c>
      <c r="C59" s="5" t="s">
        <v>111</v>
      </c>
      <c r="D59" s="5" t="s">
        <v>11</v>
      </c>
      <c r="E59" s="4" t="str">
        <f>"0097126729855"</f>
        <v>0097126729855</v>
      </c>
      <c r="F59" s="2" t="s">
        <v>12</v>
      </c>
      <c r="G59" s="2" t="s">
        <v>13</v>
      </c>
      <c r="H59" t="s">
        <v>14</v>
      </c>
      <c r="I59" s="1">
        <v>46086</v>
      </c>
      <c r="J59" t="s">
        <v>112</v>
      </c>
    </row>
    <row r="60" spans="1:10" x14ac:dyDescent="0.25">
      <c r="A60" s="3">
        <v>46086</v>
      </c>
      <c r="B60" s="5" t="s">
        <v>113</v>
      </c>
      <c r="C60" s="5" t="s">
        <v>113</v>
      </c>
      <c r="D60" s="5" t="s">
        <v>11</v>
      </c>
      <c r="E60" s="4" t="str">
        <f>"0097126667740"</f>
        <v>0097126667740</v>
      </c>
      <c r="F60" s="2" t="s">
        <v>12</v>
      </c>
      <c r="G60" s="2" t="s">
        <v>13</v>
      </c>
      <c r="H60" t="s">
        <v>14</v>
      </c>
      <c r="I60" s="1">
        <v>46086</v>
      </c>
      <c r="J60" t="s">
        <v>114</v>
      </c>
    </row>
    <row r="61" spans="1:10" x14ac:dyDescent="0.25">
      <c r="A61" s="3">
        <v>46086</v>
      </c>
      <c r="B61" s="5" t="s">
        <v>115</v>
      </c>
      <c r="C61" s="5" t="s">
        <v>115</v>
      </c>
      <c r="D61" s="5" t="s">
        <v>11</v>
      </c>
      <c r="E61" s="4" t="str">
        <f>"00971529524943"</f>
        <v>00971529524943</v>
      </c>
      <c r="F61" s="2" t="s">
        <v>12</v>
      </c>
      <c r="G61" s="2" t="s">
        <v>13</v>
      </c>
      <c r="H61" t="s">
        <v>14</v>
      </c>
      <c r="I61" s="1">
        <v>46086</v>
      </c>
      <c r="J61" t="s">
        <v>116</v>
      </c>
    </row>
    <row r="62" spans="1:10" x14ac:dyDescent="0.25">
      <c r="A62" s="3">
        <v>46086</v>
      </c>
      <c r="B62" s="5" t="s">
        <v>115</v>
      </c>
      <c r="C62" s="5" t="s">
        <v>115</v>
      </c>
      <c r="D62" s="5" t="s">
        <v>11</v>
      </c>
      <c r="E62" s="4" t="str">
        <f>"00971555260637"</f>
        <v>00971555260637</v>
      </c>
      <c r="F62" s="2" t="s">
        <v>12</v>
      </c>
      <c r="G62" s="2" t="s">
        <v>13</v>
      </c>
      <c r="H62" t="s">
        <v>14</v>
      </c>
      <c r="I62" s="1">
        <v>46086</v>
      </c>
      <c r="J62" t="s">
        <v>116</v>
      </c>
    </row>
    <row r="63" spans="1:10" x14ac:dyDescent="0.25">
      <c r="A63" s="3">
        <v>46086</v>
      </c>
      <c r="B63" s="5" t="s">
        <v>117</v>
      </c>
      <c r="C63" s="5" t="s">
        <v>117</v>
      </c>
      <c r="D63" s="5" t="s">
        <v>11</v>
      </c>
      <c r="E63" s="4" t="str">
        <f>"0097124494875"</f>
        <v>0097124494875</v>
      </c>
      <c r="F63" s="2" t="s">
        <v>12</v>
      </c>
      <c r="G63" s="2" t="s">
        <v>13</v>
      </c>
      <c r="H63" t="s">
        <v>14</v>
      </c>
      <c r="I63" s="1">
        <v>46086</v>
      </c>
      <c r="J63" t="s">
        <v>118</v>
      </c>
    </row>
    <row r="64" spans="1:10" x14ac:dyDescent="0.25">
      <c r="A64" s="3">
        <v>46086</v>
      </c>
      <c r="B64" s="5" t="s">
        <v>117</v>
      </c>
      <c r="C64" s="5" t="s">
        <v>117</v>
      </c>
      <c r="D64" s="5" t="s">
        <v>11</v>
      </c>
      <c r="E64" s="4" t="str">
        <f>"00971501215342"</f>
        <v>00971501215342</v>
      </c>
      <c r="F64" s="2" t="s">
        <v>12</v>
      </c>
      <c r="G64" s="2" t="s">
        <v>13</v>
      </c>
      <c r="H64" t="s">
        <v>14</v>
      </c>
      <c r="I64" s="1">
        <v>46086</v>
      </c>
      <c r="J64" t="s">
        <v>119</v>
      </c>
    </row>
    <row r="65" spans="1:10" x14ac:dyDescent="0.25">
      <c r="A65" s="3">
        <v>46086</v>
      </c>
      <c r="B65" s="5" t="s">
        <v>120</v>
      </c>
      <c r="C65" s="5" t="s">
        <v>120</v>
      </c>
      <c r="D65" s="5" t="s">
        <v>11</v>
      </c>
      <c r="E65" s="4" t="str">
        <f>"00971503317380"</f>
        <v>00971503317380</v>
      </c>
      <c r="F65" s="2" t="s">
        <v>12</v>
      </c>
      <c r="G65" s="2" t="s">
        <v>13</v>
      </c>
      <c r="H65" t="s">
        <v>14</v>
      </c>
      <c r="I65" s="1">
        <v>46086</v>
      </c>
      <c r="J65" t="s">
        <v>121</v>
      </c>
    </row>
    <row r="66" spans="1:10" x14ac:dyDescent="0.25">
      <c r="A66" s="3">
        <v>46086</v>
      </c>
      <c r="B66" s="5" t="s">
        <v>122</v>
      </c>
      <c r="C66" s="5" t="s">
        <v>122</v>
      </c>
      <c r="D66" s="5" t="s">
        <v>11</v>
      </c>
      <c r="E66" s="4" t="str">
        <f>"0097126343484"</f>
        <v>0097126343484</v>
      </c>
      <c r="F66" s="2" t="s">
        <v>12</v>
      </c>
      <c r="G66" s="2" t="s">
        <v>13</v>
      </c>
      <c r="H66" t="s">
        <v>14</v>
      </c>
      <c r="I66" s="1">
        <v>46086</v>
      </c>
      <c r="J66" t="s">
        <v>123</v>
      </c>
    </row>
    <row r="67" spans="1:10" x14ac:dyDescent="0.25">
      <c r="A67" s="3">
        <v>46086</v>
      </c>
      <c r="B67" s="5" t="s">
        <v>122</v>
      </c>
      <c r="C67" s="5" t="s">
        <v>122</v>
      </c>
      <c r="D67" s="5" t="s">
        <v>11</v>
      </c>
      <c r="E67" s="4" t="str">
        <f>"00971506168641"</f>
        <v>00971506168641</v>
      </c>
      <c r="F67" s="2" t="s">
        <v>12</v>
      </c>
      <c r="G67" s="2" t="s">
        <v>13</v>
      </c>
      <c r="H67" t="s">
        <v>14</v>
      </c>
      <c r="I67" s="1">
        <v>46086</v>
      </c>
      <c r="J67" t="s">
        <v>124</v>
      </c>
    </row>
    <row r="68" spans="1:10" x14ac:dyDescent="0.25">
      <c r="A68" s="3">
        <v>46086</v>
      </c>
      <c r="B68" s="5" t="s">
        <v>125</v>
      </c>
      <c r="C68" s="5" t="s">
        <v>125</v>
      </c>
      <c r="D68" s="5" t="s">
        <v>11</v>
      </c>
      <c r="E68" s="4" t="str">
        <f>"0097122222233"</f>
        <v>0097122222233</v>
      </c>
      <c r="F68" s="2" t="s">
        <v>12</v>
      </c>
      <c r="G68" s="2" t="s">
        <v>13</v>
      </c>
      <c r="H68" t="s">
        <v>14</v>
      </c>
      <c r="I68" s="1">
        <v>46086</v>
      </c>
      <c r="J68" t="s">
        <v>126</v>
      </c>
    </row>
    <row r="69" spans="1:10" x14ac:dyDescent="0.25">
      <c r="A69" s="3">
        <v>46086</v>
      </c>
      <c r="B69" s="5" t="s">
        <v>127</v>
      </c>
      <c r="C69" s="5" t="s">
        <v>127</v>
      </c>
      <c r="D69" s="5" t="s">
        <v>11</v>
      </c>
      <c r="E69" s="4" t="str">
        <f>"0097143397688"</f>
        <v>0097143397688</v>
      </c>
      <c r="F69" s="2" t="s">
        <v>12</v>
      </c>
      <c r="G69" s="2" t="s">
        <v>13</v>
      </c>
      <c r="H69" t="s">
        <v>14</v>
      </c>
      <c r="I69" s="1">
        <v>46086</v>
      </c>
      <c r="J69" t="s">
        <v>128</v>
      </c>
    </row>
    <row r="70" spans="1:10" x14ac:dyDescent="0.25">
      <c r="A70" s="3">
        <v>46086</v>
      </c>
      <c r="B70" s="5" t="s">
        <v>129</v>
      </c>
      <c r="C70" s="5" t="s">
        <v>129</v>
      </c>
      <c r="D70" s="5" t="s">
        <v>11</v>
      </c>
      <c r="E70" s="4" t="str">
        <f>"0097126331555"</f>
        <v>0097126331555</v>
      </c>
      <c r="F70" s="2" t="s">
        <v>12</v>
      </c>
      <c r="G70" s="2" t="s">
        <v>13</v>
      </c>
      <c r="H70" t="s">
        <v>14</v>
      </c>
      <c r="I70" s="1">
        <v>46086</v>
      </c>
      <c r="J70" t="s">
        <v>130</v>
      </c>
    </row>
    <row r="71" spans="1:10" x14ac:dyDescent="0.25">
      <c r="A71" s="3">
        <v>46086</v>
      </c>
      <c r="B71" s="5" t="s">
        <v>131</v>
      </c>
      <c r="C71" s="5" t="s">
        <v>131</v>
      </c>
      <c r="D71" s="5" t="s">
        <v>11</v>
      </c>
      <c r="E71" s="4" t="str">
        <f>"0097126218072"</f>
        <v>0097126218072</v>
      </c>
      <c r="F71" s="2" t="s">
        <v>12</v>
      </c>
      <c r="G71" s="2" t="s">
        <v>13</v>
      </c>
      <c r="H71" t="s">
        <v>14</v>
      </c>
      <c r="I71" s="1">
        <v>46086</v>
      </c>
      <c r="J71" t="s">
        <v>132</v>
      </c>
    </row>
    <row r="72" spans="1:10" x14ac:dyDescent="0.25">
      <c r="A72" s="3">
        <v>46086</v>
      </c>
      <c r="B72" s="5" t="s">
        <v>133</v>
      </c>
      <c r="C72" s="5" t="s">
        <v>133</v>
      </c>
      <c r="D72" s="5" t="s">
        <v>11</v>
      </c>
      <c r="E72" s="4" t="str">
        <f>"0097124452444"</f>
        <v>0097124452444</v>
      </c>
      <c r="F72" s="2" t="s">
        <v>12</v>
      </c>
      <c r="G72" s="2" t="s">
        <v>13</v>
      </c>
      <c r="H72" t="s">
        <v>14</v>
      </c>
      <c r="I72" s="1">
        <v>46086</v>
      </c>
      <c r="J72" t="s">
        <v>134</v>
      </c>
    </row>
    <row r="73" spans="1:10" x14ac:dyDescent="0.25">
      <c r="A73" s="3">
        <v>46086</v>
      </c>
      <c r="B73" s="5" t="s">
        <v>135</v>
      </c>
      <c r="C73" s="5" t="s">
        <v>135</v>
      </c>
      <c r="D73" s="5" t="s">
        <v>11</v>
      </c>
      <c r="E73" s="4" t="str">
        <f>"0097126760080"</f>
        <v>0097126760080</v>
      </c>
      <c r="F73" s="2" t="s">
        <v>12</v>
      </c>
      <c r="G73" s="2" t="s">
        <v>13</v>
      </c>
      <c r="H73" t="s">
        <v>14</v>
      </c>
      <c r="I73" s="1">
        <v>46086</v>
      </c>
      <c r="J73" t="s">
        <v>136</v>
      </c>
    </row>
    <row r="74" spans="1:10" x14ac:dyDescent="0.25">
      <c r="A74" s="3">
        <v>46086</v>
      </c>
      <c r="B74" s="5" t="s">
        <v>137</v>
      </c>
      <c r="C74" s="5" t="s">
        <v>137</v>
      </c>
      <c r="D74" s="5" t="s">
        <v>11</v>
      </c>
      <c r="E74" s="4" t="str">
        <f>"00971544067267"</f>
        <v>00971544067267</v>
      </c>
      <c r="F74" s="2" t="s">
        <v>12</v>
      </c>
      <c r="G74" s="2" t="s">
        <v>13</v>
      </c>
      <c r="H74" t="s">
        <v>14</v>
      </c>
      <c r="I74" s="1">
        <v>46086</v>
      </c>
      <c r="J74" t="s">
        <v>138</v>
      </c>
    </row>
    <row r="75" spans="1:10" x14ac:dyDescent="0.25">
      <c r="A75" s="3">
        <v>46086</v>
      </c>
      <c r="B75" s="5" t="s">
        <v>139</v>
      </c>
      <c r="C75" s="5" t="s">
        <v>139</v>
      </c>
      <c r="D75" s="5" t="s">
        <v>11</v>
      </c>
      <c r="E75" s="4" t="str">
        <f>"0097126655454"</f>
        <v>0097126655454</v>
      </c>
      <c r="F75" s="2" t="s">
        <v>12</v>
      </c>
      <c r="G75" s="2" t="s">
        <v>13</v>
      </c>
      <c r="H75" t="s">
        <v>14</v>
      </c>
      <c r="I75" s="1">
        <v>46086</v>
      </c>
      <c r="J75" t="s">
        <v>140</v>
      </c>
    </row>
    <row r="76" spans="1:10" x14ac:dyDescent="0.25">
      <c r="A76" s="3">
        <v>46086</v>
      </c>
      <c r="B76" s="5" t="s">
        <v>139</v>
      </c>
      <c r="C76" s="5" t="s">
        <v>139</v>
      </c>
      <c r="D76" s="5" t="s">
        <v>11</v>
      </c>
      <c r="E76" s="4" t="str">
        <f>"00971506501359"</f>
        <v>00971506501359</v>
      </c>
      <c r="F76" s="2" t="s">
        <v>12</v>
      </c>
      <c r="G76" s="2" t="s">
        <v>13</v>
      </c>
      <c r="H76" t="s">
        <v>14</v>
      </c>
      <c r="I76" s="1">
        <v>46086</v>
      </c>
      <c r="J76" t="s">
        <v>141</v>
      </c>
    </row>
    <row r="77" spans="1:10" x14ac:dyDescent="0.25">
      <c r="A77" s="3">
        <v>46086</v>
      </c>
      <c r="B77" s="5" t="s">
        <v>142</v>
      </c>
      <c r="C77" s="5" t="s">
        <v>142</v>
      </c>
      <c r="D77" s="5" t="s">
        <v>11</v>
      </c>
      <c r="E77" s="4" t="str">
        <f>"0097125502205"</f>
        <v>0097125502205</v>
      </c>
      <c r="F77" s="2" t="s">
        <v>12</v>
      </c>
      <c r="G77" s="2" t="s">
        <v>13</v>
      </c>
      <c r="H77" t="s">
        <v>14</v>
      </c>
      <c r="I77" s="1">
        <v>46086</v>
      </c>
      <c r="J77" t="s">
        <v>143</v>
      </c>
    </row>
    <row r="78" spans="1:10" x14ac:dyDescent="0.25">
      <c r="A78" s="3">
        <v>46086</v>
      </c>
      <c r="B78" s="5" t="s">
        <v>144</v>
      </c>
      <c r="C78" s="5" t="s">
        <v>144</v>
      </c>
      <c r="D78" s="5" t="s">
        <v>11</v>
      </c>
      <c r="E78" s="4" t="str">
        <f>"0097125557963"</f>
        <v>0097125557963</v>
      </c>
      <c r="F78" s="2" t="s">
        <v>12</v>
      </c>
      <c r="G78" s="2" t="s">
        <v>13</v>
      </c>
      <c r="H78" t="s">
        <v>14</v>
      </c>
      <c r="I78" s="1">
        <v>46086</v>
      </c>
      <c r="J78" t="s">
        <v>145</v>
      </c>
    </row>
    <row r="79" spans="1:10" x14ac:dyDescent="0.25">
      <c r="A79" s="3">
        <v>46086</v>
      </c>
      <c r="B79" s="5" t="s">
        <v>146</v>
      </c>
      <c r="C79" s="5" t="s">
        <v>146</v>
      </c>
      <c r="D79" s="5" t="s">
        <v>11</v>
      </c>
      <c r="E79" s="4" t="str">
        <f>"0097126338008"</f>
        <v>0097126338008</v>
      </c>
      <c r="F79" s="2" t="s">
        <v>12</v>
      </c>
      <c r="G79" s="2" t="s">
        <v>13</v>
      </c>
      <c r="H79" t="s">
        <v>14</v>
      </c>
      <c r="I79" s="1">
        <v>46086</v>
      </c>
      <c r="J79" t="s">
        <v>147</v>
      </c>
    </row>
    <row r="80" spans="1:10" x14ac:dyDescent="0.25">
      <c r="A80" s="3">
        <v>46086</v>
      </c>
      <c r="B80" s="5" t="s">
        <v>148</v>
      </c>
      <c r="C80" s="5" t="s">
        <v>148</v>
      </c>
      <c r="D80" s="5" t="s">
        <v>11</v>
      </c>
      <c r="E80" s="4" t="str">
        <f>"0097124990111"</f>
        <v>0097124990111</v>
      </c>
      <c r="F80" s="2" t="s">
        <v>12</v>
      </c>
      <c r="G80" s="2" t="s">
        <v>13</v>
      </c>
      <c r="H80" t="s">
        <v>14</v>
      </c>
      <c r="I80" s="1">
        <v>46086</v>
      </c>
      <c r="J80" t="s">
        <v>149</v>
      </c>
    </row>
    <row r="81" spans="1:10" x14ac:dyDescent="0.25">
      <c r="A81" s="3">
        <v>46086</v>
      </c>
      <c r="B81" s="5" t="s">
        <v>150</v>
      </c>
      <c r="C81" s="5" t="s">
        <v>150</v>
      </c>
      <c r="D81" s="5" t="s">
        <v>11</v>
      </c>
      <c r="E81" s="4" t="str">
        <f>"0097126813300"</f>
        <v>0097126813300</v>
      </c>
      <c r="F81" s="2" t="s">
        <v>12</v>
      </c>
      <c r="G81" s="2" t="s">
        <v>13</v>
      </c>
      <c r="H81" t="s">
        <v>14</v>
      </c>
      <c r="I81" s="1">
        <v>46086</v>
      </c>
      <c r="J81" t="s">
        <v>151</v>
      </c>
    </row>
    <row r="82" spans="1:10" x14ac:dyDescent="0.25">
      <c r="A82" s="3">
        <v>46086</v>
      </c>
      <c r="B82" s="5" t="s">
        <v>152</v>
      </c>
      <c r="C82" s="5" t="s">
        <v>152</v>
      </c>
      <c r="D82" s="5" t="s">
        <v>11</v>
      </c>
      <c r="E82" s="4" t="str">
        <f>"0097126775550"</f>
        <v>0097126775550</v>
      </c>
      <c r="F82" s="2" t="s">
        <v>12</v>
      </c>
      <c r="G82" s="2" t="s">
        <v>13</v>
      </c>
      <c r="H82" t="s">
        <v>14</v>
      </c>
      <c r="I82" s="1">
        <v>46086</v>
      </c>
      <c r="J82" t="s">
        <v>153</v>
      </c>
    </row>
    <row r="83" spans="1:10" x14ac:dyDescent="0.25">
      <c r="A83" s="3">
        <v>46086</v>
      </c>
      <c r="B83" s="5" t="s">
        <v>154</v>
      </c>
      <c r="C83" s="5" t="s">
        <v>154</v>
      </c>
      <c r="D83" s="5" t="s">
        <v>11</v>
      </c>
      <c r="E83" s="4" t="str">
        <f>"0097126661120"</f>
        <v>0097126661120</v>
      </c>
      <c r="F83" s="2" t="s">
        <v>12</v>
      </c>
      <c r="G83" s="2" t="s">
        <v>13</v>
      </c>
      <c r="H83" t="s">
        <v>14</v>
      </c>
      <c r="I83" s="1">
        <v>46086</v>
      </c>
      <c r="J83" t="s">
        <v>155</v>
      </c>
    </row>
    <row r="84" spans="1:10" x14ac:dyDescent="0.25">
      <c r="A84" s="3">
        <v>46086</v>
      </c>
      <c r="B84" s="5" t="s">
        <v>156</v>
      </c>
      <c r="C84" s="5" t="s">
        <v>156</v>
      </c>
      <c r="D84" s="5" t="s">
        <v>11</v>
      </c>
      <c r="E84" s="4" t="str">
        <f>"0097126448181"</f>
        <v>0097126448181</v>
      </c>
      <c r="F84" s="2" t="s">
        <v>12</v>
      </c>
      <c r="G84" s="2" t="s">
        <v>13</v>
      </c>
      <c r="H84" t="s">
        <v>14</v>
      </c>
      <c r="I84" s="1">
        <v>46086</v>
      </c>
      <c r="J84" t="s">
        <v>157</v>
      </c>
    </row>
    <row r="85" spans="1:10" x14ac:dyDescent="0.25">
      <c r="A85" s="3">
        <v>46086</v>
      </c>
      <c r="B85" s="5" t="s">
        <v>156</v>
      </c>
      <c r="C85" s="5" t="s">
        <v>156</v>
      </c>
      <c r="D85" s="5" t="s">
        <v>11</v>
      </c>
      <c r="E85" s="4" t="str">
        <f>"00971544447870"</f>
        <v>00971544447870</v>
      </c>
      <c r="F85" s="2" t="s">
        <v>12</v>
      </c>
      <c r="G85" s="2" t="s">
        <v>13</v>
      </c>
      <c r="H85" t="s">
        <v>14</v>
      </c>
      <c r="I85" s="1">
        <v>46086</v>
      </c>
      <c r="J85" t="s">
        <v>158</v>
      </c>
    </row>
    <row r="86" spans="1:10" x14ac:dyDescent="0.25">
      <c r="A86" s="3">
        <v>46086</v>
      </c>
      <c r="B86" s="5" t="s">
        <v>159</v>
      </c>
      <c r="C86" s="5" t="s">
        <v>159</v>
      </c>
      <c r="D86" s="5" t="s">
        <v>11</v>
      </c>
      <c r="E86" s="4" t="str">
        <f>"0097125538180"</f>
        <v>0097125538180</v>
      </c>
      <c r="F86" s="2" t="s">
        <v>12</v>
      </c>
      <c r="G86" s="2" t="s">
        <v>13</v>
      </c>
      <c r="H86" t="s">
        <v>14</v>
      </c>
      <c r="I86" s="1">
        <v>46086</v>
      </c>
      <c r="J86" t="s">
        <v>160</v>
      </c>
    </row>
    <row r="87" spans="1:10" x14ac:dyDescent="0.25">
      <c r="A87" s="3">
        <v>46086</v>
      </c>
      <c r="B87" s="5" t="s">
        <v>159</v>
      </c>
      <c r="C87" s="5" t="s">
        <v>159</v>
      </c>
      <c r="D87" s="5" t="s">
        <v>11</v>
      </c>
      <c r="E87" s="4" t="str">
        <f>"00971502818353"</f>
        <v>00971502818353</v>
      </c>
      <c r="F87" s="2" t="s">
        <v>12</v>
      </c>
      <c r="G87" s="2" t="s">
        <v>13</v>
      </c>
      <c r="H87" t="s">
        <v>14</v>
      </c>
      <c r="I87" s="1">
        <v>46086</v>
      </c>
      <c r="J87" t="s">
        <v>161</v>
      </c>
    </row>
    <row r="88" spans="1:10" x14ac:dyDescent="0.25">
      <c r="A88" s="3">
        <v>46086</v>
      </c>
      <c r="B88" s="5" t="s">
        <v>162</v>
      </c>
      <c r="C88" s="5" t="s">
        <v>162</v>
      </c>
      <c r="D88" s="5" t="s">
        <v>11</v>
      </c>
      <c r="E88" s="4" t="str">
        <f>"0097126277090"</f>
        <v>0097126277090</v>
      </c>
      <c r="F88" s="2" t="s">
        <v>12</v>
      </c>
      <c r="G88" s="2" t="s">
        <v>13</v>
      </c>
      <c r="H88" t="s">
        <v>14</v>
      </c>
      <c r="I88" s="1">
        <v>46086</v>
      </c>
      <c r="J88" t="s">
        <v>163</v>
      </c>
    </row>
    <row r="89" spans="1:10" x14ac:dyDescent="0.25">
      <c r="A89" s="3">
        <v>46086</v>
      </c>
      <c r="B89" s="5" t="s">
        <v>162</v>
      </c>
      <c r="C89" s="5" t="s">
        <v>162</v>
      </c>
      <c r="D89" s="5" t="s">
        <v>11</v>
      </c>
      <c r="E89" s="4" t="str">
        <f>"00971506715214"</f>
        <v>00971506715214</v>
      </c>
      <c r="F89" s="2" t="s">
        <v>12</v>
      </c>
      <c r="G89" s="2" t="s">
        <v>13</v>
      </c>
      <c r="H89" t="s">
        <v>14</v>
      </c>
      <c r="I89" s="1">
        <v>46086</v>
      </c>
      <c r="J89" t="s">
        <v>164</v>
      </c>
    </row>
    <row r="90" spans="1:10" x14ac:dyDescent="0.25">
      <c r="A90" s="3">
        <v>46086</v>
      </c>
      <c r="B90" s="5" t="s">
        <v>165</v>
      </c>
      <c r="C90" s="5" t="s">
        <v>165</v>
      </c>
      <c r="D90" s="5" t="s">
        <v>11</v>
      </c>
      <c r="E90" s="4" t="str">
        <f>"0097126788144"</f>
        <v>0097126788144</v>
      </c>
      <c r="F90" s="2" t="s">
        <v>12</v>
      </c>
      <c r="G90" s="2" t="s">
        <v>13</v>
      </c>
      <c r="H90" t="s">
        <v>14</v>
      </c>
      <c r="I90" s="1">
        <v>46086</v>
      </c>
      <c r="J90" t="s">
        <v>166</v>
      </c>
    </row>
    <row r="91" spans="1:10" x14ac:dyDescent="0.25">
      <c r="A91" s="3">
        <v>46086</v>
      </c>
      <c r="B91" s="5" t="s">
        <v>165</v>
      </c>
      <c r="C91" s="5" t="s">
        <v>165</v>
      </c>
      <c r="D91" s="5" t="s">
        <v>11</v>
      </c>
      <c r="E91" s="4" t="str">
        <f>"00971506722159"</f>
        <v>00971506722159</v>
      </c>
      <c r="F91" s="2" t="s">
        <v>12</v>
      </c>
      <c r="G91" s="2" t="s">
        <v>13</v>
      </c>
      <c r="H91" t="s">
        <v>14</v>
      </c>
      <c r="I91" s="1">
        <v>46086</v>
      </c>
      <c r="J91" t="s">
        <v>167</v>
      </c>
    </row>
    <row r="92" spans="1:10" x14ac:dyDescent="0.25">
      <c r="A92" s="3">
        <v>46086</v>
      </c>
      <c r="B92" s="5" t="s">
        <v>168</v>
      </c>
      <c r="C92" s="5" t="s">
        <v>168</v>
      </c>
      <c r="D92" s="5" t="s">
        <v>11</v>
      </c>
      <c r="E92" s="4" t="str">
        <f>"00971555497097"</f>
        <v>00971555497097</v>
      </c>
      <c r="F92" s="2" t="s">
        <v>12</v>
      </c>
      <c r="G92" s="2" t="s">
        <v>13</v>
      </c>
      <c r="H92" t="s">
        <v>14</v>
      </c>
      <c r="I92" s="1">
        <v>46086</v>
      </c>
      <c r="J92" t="s">
        <v>169</v>
      </c>
    </row>
    <row r="93" spans="1:10" x14ac:dyDescent="0.25">
      <c r="A93" s="3">
        <v>46086</v>
      </c>
      <c r="B93" s="5" t="s">
        <v>170</v>
      </c>
      <c r="C93" s="5" t="s">
        <v>170</v>
      </c>
      <c r="D93" s="5" t="s">
        <v>11</v>
      </c>
      <c r="E93" s="4" t="str">
        <f>"0097128721175"</f>
        <v>0097128721175</v>
      </c>
      <c r="F93" s="2" t="s">
        <v>12</v>
      </c>
      <c r="G93" s="2" t="s">
        <v>13</v>
      </c>
      <c r="H93" t="s">
        <v>14</v>
      </c>
      <c r="I93" s="1">
        <v>46086</v>
      </c>
      <c r="J93" t="s">
        <v>171</v>
      </c>
    </row>
    <row r="94" spans="1:10" x14ac:dyDescent="0.25">
      <c r="A94" s="3">
        <v>46086</v>
      </c>
      <c r="B94" s="5" t="s">
        <v>172</v>
      </c>
      <c r="C94" s="5" t="s">
        <v>172</v>
      </c>
      <c r="D94" s="5" t="s">
        <v>11</v>
      </c>
      <c r="E94" s="4" t="str">
        <f>"0097126412955"</f>
        <v>0097126412955</v>
      </c>
      <c r="F94" s="2" t="s">
        <v>12</v>
      </c>
      <c r="G94" s="2" t="s">
        <v>13</v>
      </c>
      <c r="H94" t="s">
        <v>14</v>
      </c>
      <c r="I94" s="1">
        <v>46086</v>
      </c>
      <c r="J94" t="s">
        <v>173</v>
      </c>
    </row>
    <row r="95" spans="1:10" x14ac:dyDescent="0.25">
      <c r="A95" s="3">
        <v>46086</v>
      </c>
      <c r="B95" s="5" t="s">
        <v>174</v>
      </c>
      <c r="C95" s="5" t="s">
        <v>174</v>
      </c>
      <c r="D95" s="5" t="s">
        <v>11</v>
      </c>
      <c r="E95" s="4" t="str">
        <f>"0097125559614"</f>
        <v>0097125559614</v>
      </c>
      <c r="F95" s="2" t="s">
        <v>12</v>
      </c>
      <c r="G95" s="2" t="s">
        <v>13</v>
      </c>
      <c r="H95" t="s">
        <v>14</v>
      </c>
      <c r="I95" s="1">
        <v>46086</v>
      </c>
      <c r="J95" t="s">
        <v>175</v>
      </c>
    </row>
    <row r="96" spans="1:10" x14ac:dyDescent="0.25">
      <c r="A96" s="3">
        <v>46086</v>
      </c>
      <c r="B96" s="5" t="s">
        <v>176</v>
      </c>
      <c r="C96" s="5" t="s">
        <v>176</v>
      </c>
      <c r="D96" s="5" t="s">
        <v>11</v>
      </c>
      <c r="E96" s="4" t="str">
        <f>"0097126222124"</f>
        <v>0097126222124</v>
      </c>
      <c r="F96" s="2" t="s">
        <v>12</v>
      </c>
      <c r="G96" s="2" t="s">
        <v>13</v>
      </c>
      <c r="H96" t="s">
        <v>14</v>
      </c>
      <c r="I96" s="1">
        <v>46086</v>
      </c>
      <c r="J96" t="s">
        <v>177</v>
      </c>
    </row>
    <row r="97" spans="1:10" x14ac:dyDescent="0.25">
      <c r="A97" s="3">
        <v>46086</v>
      </c>
      <c r="B97" s="5" t="s">
        <v>178</v>
      </c>
      <c r="C97" s="5" t="s">
        <v>178</v>
      </c>
      <c r="D97" s="5" t="s">
        <v>11</v>
      </c>
      <c r="E97" s="4" t="str">
        <f>"0097126272000"</f>
        <v>0097126272000</v>
      </c>
      <c r="F97" s="2" t="s">
        <v>12</v>
      </c>
      <c r="G97" s="2" t="s">
        <v>13</v>
      </c>
      <c r="H97" t="s">
        <v>14</v>
      </c>
      <c r="I97" s="1">
        <v>46086</v>
      </c>
      <c r="J97" t="s">
        <v>179</v>
      </c>
    </row>
    <row r="98" spans="1:10" x14ac:dyDescent="0.25">
      <c r="A98" s="3">
        <v>46086</v>
      </c>
      <c r="B98" s="5" t="s">
        <v>180</v>
      </c>
      <c r="C98" s="5" t="s">
        <v>180</v>
      </c>
      <c r="D98" s="5" t="s">
        <v>11</v>
      </c>
      <c r="E98" s="4" t="str">
        <f>"0097126224034"</f>
        <v>0097126224034</v>
      </c>
      <c r="F98" s="2" t="s">
        <v>12</v>
      </c>
      <c r="G98" s="2" t="s">
        <v>13</v>
      </c>
      <c r="H98" t="s">
        <v>14</v>
      </c>
      <c r="I98" s="1">
        <v>46086</v>
      </c>
      <c r="J98" t="s">
        <v>181</v>
      </c>
    </row>
    <row r="99" spans="1:10" x14ac:dyDescent="0.25">
      <c r="A99" s="3">
        <v>46086</v>
      </c>
      <c r="B99" s="5" t="s">
        <v>182</v>
      </c>
      <c r="C99" s="5" t="s">
        <v>182</v>
      </c>
      <c r="D99" s="5" t="s">
        <v>11</v>
      </c>
      <c r="E99" s="4" t="str">
        <f>"0097125540728"</f>
        <v>0097125540728</v>
      </c>
      <c r="F99" s="2" t="s">
        <v>12</v>
      </c>
      <c r="G99" s="2" t="s">
        <v>13</v>
      </c>
      <c r="H99" t="s">
        <v>14</v>
      </c>
      <c r="I99" s="1">
        <v>46086</v>
      </c>
      <c r="J99" t="s">
        <v>183</v>
      </c>
    </row>
    <row r="100" spans="1:10" x14ac:dyDescent="0.25">
      <c r="A100" s="3">
        <v>46086</v>
      </c>
      <c r="B100" s="5" t="s">
        <v>184</v>
      </c>
      <c r="C100" s="5" t="s">
        <v>184</v>
      </c>
      <c r="D100" s="5" t="s">
        <v>11</v>
      </c>
      <c r="E100" s="4" t="str">
        <f>"0097126328848"</f>
        <v>0097126328848</v>
      </c>
      <c r="F100" s="2" t="s">
        <v>12</v>
      </c>
      <c r="G100" s="2" t="s">
        <v>13</v>
      </c>
      <c r="H100" t="s">
        <v>14</v>
      </c>
      <c r="I100" s="1">
        <v>46086</v>
      </c>
      <c r="J100" t="s">
        <v>185</v>
      </c>
    </row>
    <row r="101" spans="1:10" x14ac:dyDescent="0.25">
      <c r="A101" s="3">
        <v>46086</v>
      </c>
      <c r="B101" s="5" t="s">
        <v>186</v>
      </c>
      <c r="C101" s="5" t="s">
        <v>186</v>
      </c>
      <c r="D101" s="5" t="s">
        <v>11</v>
      </c>
      <c r="E101" s="4" t="str">
        <f>"0097125559143"</f>
        <v>0097125559143</v>
      </c>
      <c r="F101" s="2" t="s">
        <v>12</v>
      </c>
      <c r="G101" s="2" t="s">
        <v>13</v>
      </c>
      <c r="H101" t="s">
        <v>14</v>
      </c>
      <c r="I101" s="1">
        <v>46086</v>
      </c>
      <c r="J101" t="s">
        <v>187</v>
      </c>
    </row>
    <row r="102" spans="1:10" x14ac:dyDescent="0.25">
      <c r="A102" s="3">
        <v>46086</v>
      </c>
      <c r="B102" s="5" t="s">
        <v>186</v>
      </c>
      <c r="C102" s="5" t="s">
        <v>186</v>
      </c>
      <c r="D102" s="5" t="s">
        <v>11</v>
      </c>
      <c r="E102" s="4" t="str">
        <f>"00971505822930"</f>
        <v>00971505822930</v>
      </c>
      <c r="F102" s="2" t="s">
        <v>12</v>
      </c>
      <c r="G102" s="2" t="s">
        <v>13</v>
      </c>
      <c r="H102" t="s">
        <v>14</v>
      </c>
      <c r="I102" s="1">
        <v>46086</v>
      </c>
      <c r="J102" t="s">
        <v>188</v>
      </c>
    </row>
    <row r="103" spans="1:10" x14ac:dyDescent="0.25">
      <c r="A103" s="3">
        <v>46086</v>
      </c>
      <c r="B103" s="5" t="s">
        <v>189</v>
      </c>
      <c r="C103" s="5" t="s">
        <v>189</v>
      </c>
      <c r="D103" s="5" t="s">
        <v>11</v>
      </c>
      <c r="E103" s="4" t="str">
        <f>"00971505284639"</f>
        <v>00971505284639</v>
      </c>
      <c r="F103" s="2" t="s">
        <v>12</v>
      </c>
      <c r="G103" s="2" t="s">
        <v>13</v>
      </c>
      <c r="H103" t="s">
        <v>14</v>
      </c>
      <c r="I103" s="1">
        <v>46086</v>
      </c>
      <c r="J103" t="s">
        <v>190</v>
      </c>
    </row>
    <row r="104" spans="1:10" x14ac:dyDescent="0.25">
      <c r="A104" s="3">
        <v>46086</v>
      </c>
      <c r="B104" s="5" t="s">
        <v>191</v>
      </c>
      <c r="C104" s="5" t="s">
        <v>191</v>
      </c>
      <c r="D104" s="5" t="s">
        <v>11</v>
      </c>
      <c r="E104" s="4" t="str">
        <f>"0097126743789"</f>
        <v>0097126743789</v>
      </c>
      <c r="F104" s="2" t="s">
        <v>12</v>
      </c>
      <c r="G104" s="2" t="s">
        <v>13</v>
      </c>
      <c r="H104" t="s">
        <v>14</v>
      </c>
      <c r="I104" s="1">
        <v>46086</v>
      </c>
      <c r="J104" t="s">
        <v>192</v>
      </c>
    </row>
    <row r="105" spans="1:10" x14ac:dyDescent="0.25">
      <c r="A105" s="3">
        <v>46086</v>
      </c>
      <c r="B105" s="5" t="s">
        <v>193</v>
      </c>
      <c r="C105" s="5" t="s">
        <v>193</v>
      </c>
      <c r="D105" s="5" t="s">
        <v>11</v>
      </c>
      <c r="E105" s="4" t="str">
        <f>"0097126329357"</f>
        <v>0097126329357</v>
      </c>
      <c r="F105" s="2" t="s">
        <v>12</v>
      </c>
      <c r="G105" s="2" t="s">
        <v>13</v>
      </c>
      <c r="H105" t="s">
        <v>14</v>
      </c>
      <c r="I105" s="1">
        <v>46086</v>
      </c>
      <c r="J105" t="s">
        <v>194</v>
      </c>
    </row>
    <row r="106" spans="1:10" x14ac:dyDescent="0.25">
      <c r="A106" s="3">
        <v>46086</v>
      </c>
      <c r="B106" s="5" t="s">
        <v>195</v>
      </c>
      <c r="C106" s="5" t="s">
        <v>195</v>
      </c>
      <c r="D106" s="5" t="s">
        <v>11</v>
      </c>
      <c r="E106" s="4" t="str">
        <f>"0097126441677"</f>
        <v>0097126441677</v>
      </c>
      <c r="F106" s="2" t="s">
        <v>12</v>
      </c>
      <c r="G106" s="2" t="s">
        <v>13</v>
      </c>
      <c r="H106" t="s">
        <v>14</v>
      </c>
      <c r="I106" s="1">
        <v>46086</v>
      </c>
      <c r="J106" t="s">
        <v>196</v>
      </c>
    </row>
    <row r="107" spans="1:10" x14ac:dyDescent="0.25">
      <c r="A107" s="3">
        <v>46086</v>
      </c>
      <c r="B107" s="5" t="s">
        <v>197</v>
      </c>
      <c r="C107" s="5" t="s">
        <v>197</v>
      </c>
      <c r="D107" s="5" t="s">
        <v>11</v>
      </c>
      <c r="E107" s="4" t="str">
        <f>"0097126421393"</f>
        <v>0097126421393</v>
      </c>
      <c r="F107" s="2" t="s">
        <v>12</v>
      </c>
      <c r="G107" s="2" t="s">
        <v>13</v>
      </c>
      <c r="H107" t="s">
        <v>14</v>
      </c>
      <c r="I107" s="1">
        <v>46086</v>
      </c>
      <c r="J107" t="s">
        <v>198</v>
      </c>
    </row>
    <row r="108" spans="1:10" x14ac:dyDescent="0.25">
      <c r="A108" s="3">
        <v>46086</v>
      </c>
      <c r="B108" s="5" t="s">
        <v>199</v>
      </c>
      <c r="C108" s="5" t="s">
        <v>199</v>
      </c>
      <c r="D108" s="5" t="s">
        <v>11</v>
      </c>
      <c r="E108" s="4" t="str">
        <f>"0097126274177"</f>
        <v>0097126274177</v>
      </c>
      <c r="F108" s="2" t="s">
        <v>12</v>
      </c>
      <c r="G108" s="2" t="s">
        <v>13</v>
      </c>
      <c r="H108" t="s">
        <v>14</v>
      </c>
      <c r="I108" s="1">
        <v>46086</v>
      </c>
      <c r="J108" t="s">
        <v>200</v>
      </c>
    </row>
    <row r="109" spans="1:10" x14ac:dyDescent="0.25">
      <c r="A109" s="3">
        <v>46086</v>
      </c>
      <c r="B109" s="5" t="s">
        <v>201</v>
      </c>
      <c r="C109" s="5" t="s">
        <v>201</v>
      </c>
      <c r="D109" s="5" t="s">
        <v>11</v>
      </c>
      <c r="E109" s="4" t="str">
        <f>"0097126781036"</f>
        <v>0097126781036</v>
      </c>
      <c r="F109" s="2" t="s">
        <v>12</v>
      </c>
      <c r="G109" s="2" t="s">
        <v>13</v>
      </c>
      <c r="H109" t="s">
        <v>14</v>
      </c>
      <c r="I109" s="1">
        <v>46086</v>
      </c>
      <c r="J109" t="s">
        <v>202</v>
      </c>
    </row>
    <row r="110" spans="1:10" x14ac:dyDescent="0.25">
      <c r="A110" s="3">
        <v>46086</v>
      </c>
      <c r="B110" s="5" t="s">
        <v>203</v>
      </c>
      <c r="C110" s="5" t="s">
        <v>203</v>
      </c>
      <c r="D110" s="5" t="s">
        <v>11</v>
      </c>
      <c r="E110" s="4" t="str">
        <f>"0097125500888"</f>
        <v>0097125500888</v>
      </c>
      <c r="F110" s="2" t="s">
        <v>12</v>
      </c>
      <c r="G110" s="2" t="s">
        <v>13</v>
      </c>
      <c r="H110" t="s">
        <v>14</v>
      </c>
      <c r="I110" s="1">
        <v>46086</v>
      </c>
      <c r="J110" t="s">
        <v>204</v>
      </c>
    </row>
    <row r="111" spans="1:10" x14ac:dyDescent="0.25">
      <c r="A111" s="3">
        <v>46086</v>
      </c>
      <c r="B111" s="5" t="s">
        <v>205</v>
      </c>
      <c r="C111" s="5" t="s">
        <v>205</v>
      </c>
      <c r="D111" s="5" t="s">
        <v>11</v>
      </c>
      <c r="E111" s="4" t="str">
        <f>"0097125553949"</f>
        <v>0097125553949</v>
      </c>
      <c r="F111" s="2" t="s">
        <v>12</v>
      </c>
      <c r="G111" s="2" t="s">
        <v>13</v>
      </c>
      <c r="H111" t="s">
        <v>14</v>
      </c>
      <c r="I111" s="1">
        <v>46086</v>
      </c>
      <c r="J111" t="s">
        <v>206</v>
      </c>
    </row>
    <row r="112" spans="1:10" x14ac:dyDescent="0.25">
      <c r="A112" s="3">
        <v>46086</v>
      </c>
      <c r="B112" s="5" t="s">
        <v>207</v>
      </c>
      <c r="C112" s="5" t="s">
        <v>207</v>
      </c>
      <c r="D112" s="5" t="s">
        <v>11</v>
      </c>
      <c r="E112" s="4" t="str">
        <f>"0097126343615"</f>
        <v>0097126343615</v>
      </c>
      <c r="F112" s="2" t="s">
        <v>12</v>
      </c>
      <c r="G112" s="2" t="s">
        <v>13</v>
      </c>
      <c r="H112" t="s">
        <v>14</v>
      </c>
      <c r="I112" s="1">
        <v>46086</v>
      </c>
      <c r="J112" t="s">
        <v>208</v>
      </c>
    </row>
    <row r="113" spans="1:10" x14ac:dyDescent="0.25">
      <c r="A113" s="3">
        <v>46086</v>
      </c>
      <c r="B113" s="5" t="s">
        <v>209</v>
      </c>
      <c r="C113" s="5" t="s">
        <v>209</v>
      </c>
      <c r="D113" s="5" t="s">
        <v>11</v>
      </c>
      <c r="E113" s="4" t="str">
        <f>"0097125541814"</f>
        <v>0097125541814</v>
      </c>
      <c r="F113" s="2" t="s">
        <v>12</v>
      </c>
      <c r="G113" s="2" t="s">
        <v>13</v>
      </c>
      <c r="H113" t="s">
        <v>14</v>
      </c>
      <c r="I113" s="1">
        <v>46086</v>
      </c>
      <c r="J113" t="s">
        <v>210</v>
      </c>
    </row>
    <row r="114" spans="1:10" x14ac:dyDescent="0.25">
      <c r="A114" s="3">
        <v>46086</v>
      </c>
      <c r="B114" s="5" t="s">
        <v>211</v>
      </c>
      <c r="C114" s="5" t="s">
        <v>211</v>
      </c>
      <c r="D114" s="5" t="s">
        <v>11</v>
      </c>
      <c r="E114" s="4" t="str">
        <f>"0097126269663"</f>
        <v>0097126269663</v>
      </c>
      <c r="F114" s="2" t="s">
        <v>12</v>
      </c>
      <c r="G114" s="2" t="s">
        <v>13</v>
      </c>
      <c r="H114" t="s">
        <v>14</v>
      </c>
      <c r="I114" s="1">
        <v>46086</v>
      </c>
      <c r="J114" t="s">
        <v>212</v>
      </c>
    </row>
    <row r="115" spans="1:10" x14ac:dyDescent="0.25">
      <c r="A115" s="3">
        <v>46086</v>
      </c>
      <c r="B115" s="5" t="s">
        <v>211</v>
      </c>
      <c r="C115" s="5" t="s">
        <v>211</v>
      </c>
      <c r="D115" s="5" t="s">
        <v>11</v>
      </c>
      <c r="E115" s="4" t="str">
        <f>"00971506118030"</f>
        <v>00971506118030</v>
      </c>
      <c r="F115" s="2" t="s">
        <v>12</v>
      </c>
      <c r="G115" s="2" t="s">
        <v>13</v>
      </c>
      <c r="H115" t="s">
        <v>14</v>
      </c>
      <c r="I115" s="1">
        <v>46086</v>
      </c>
      <c r="J115" t="s">
        <v>213</v>
      </c>
    </row>
    <row r="116" spans="1:10" x14ac:dyDescent="0.25">
      <c r="A116" s="3">
        <v>46086</v>
      </c>
      <c r="B116" s="5" t="s">
        <v>214</v>
      </c>
      <c r="C116" s="5" t="s">
        <v>214</v>
      </c>
      <c r="D116" s="5" t="s">
        <v>11</v>
      </c>
      <c r="E116" s="4" t="str">
        <f>"0097125541719"</f>
        <v>0097125541719</v>
      </c>
      <c r="F116" s="2" t="s">
        <v>12</v>
      </c>
      <c r="G116" s="2" t="s">
        <v>13</v>
      </c>
      <c r="H116" t="s">
        <v>14</v>
      </c>
      <c r="I116" s="1">
        <v>46086</v>
      </c>
      <c r="J116" t="s">
        <v>215</v>
      </c>
    </row>
    <row r="117" spans="1:10" x14ac:dyDescent="0.25">
      <c r="A117" s="3">
        <v>46086</v>
      </c>
      <c r="B117" s="5" t="s">
        <v>216</v>
      </c>
      <c r="C117" s="5" t="s">
        <v>216</v>
      </c>
      <c r="D117" s="5" t="s">
        <v>11</v>
      </c>
      <c r="E117" s="4" t="str">
        <f>"0097126332935"</f>
        <v>0097126332935</v>
      </c>
      <c r="F117" s="2" t="s">
        <v>12</v>
      </c>
      <c r="G117" s="2" t="s">
        <v>13</v>
      </c>
      <c r="H117" t="s">
        <v>14</v>
      </c>
      <c r="I117" s="1">
        <v>46086</v>
      </c>
      <c r="J117" t="s">
        <v>217</v>
      </c>
    </row>
    <row r="118" spans="1:10" x14ac:dyDescent="0.25">
      <c r="A118" s="3">
        <v>46086</v>
      </c>
      <c r="B118" s="5" t="s">
        <v>218</v>
      </c>
      <c r="C118" s="5" t="s">
        <v>218</v>
      </c>
      <c r="D118" s="5" t="s">
        <v>11</v>
      </c>
      <c r="E118" s="4" t="str">
        <f>"0097126764833"</f>
        <v>0097126764833</v>
      </c>
      <c r="F118" s="2" t="s">
        <v>12</v>
      </c>
      <c r="G118" s="2" t="s">
        <v>13</v>
      </c>
      <c r="H118" t="s">
        <v>14</v>
      </c>
      <c r="I118" s="1">
        <v>46086</v>
      </c>
      <c r="J118" t="s">
        <v>219</v>
      </c>
    </row>
    <row r="119" spans="1:10" x14ac:dyDescent="0.25">
      <c r="A119" s="3">
        <v>46086</v>
      </c>
      <c r="B119" s="5" t="s">
        <v>220</v>
      </c>
      <c r="C119" s="5" t="s">
        <v>220</v>
      </c>
      <c r="D119" s="5" t="s">
        <v>11</v>
      </c>
      <c r="E119" s="4" t="str">
        <f>"0097125580816"</f>
        <v>0097125580816</v>
      </c>
      <c r="F119" s="2" t="s">
        <v>12</v>
      </c>
      <c r="G119" s="2" t="s">
        <v>13</v>
      </c>
      <c r="H119" t="s">
        <v>14</v>
      </c>
      <c r="I119" s="1">
        <v>46086</v>
      </c>
      <c r="J119" t="s">
        <v>221</v>
      </c>
    </row>
    <row r="120" spans="1:10" x14ac:dyDescent="0.25">
      <c r="A120" s="3">
        <v>46086</v>
      </c>
      <c r="B120" s="5" t="s">
        <v>220</v>
      </c>
      <c r="C120" s="5" t="s">
        <v>220</v>
      </c>
      <c r="D120" s="5" t="s">
        <v>11</v>
      </c>
      <c r="E120" s="4" t="str">
        <f>"00971503308235"</f>
        <v>00971503308235</v>
      </c>
      <c r="F120" s="2" t="s">
        <v>12</v>
      </c>
      <c r="G120" s="2" t="s">
        <v>13</v>
      </c>
      <c r="H120" t="s">
        <v>14</v>
      </c>
      <c r="I120" s="1">
        <v>46086</v>
      </c>
      <c r="J120" t="s">
        <v>222</v>
      </c>
    </row>
    <row r="121" spans="1:10" x14ac:dyDescent="0.25">
      <c r="A121" s="3">
        <v>46086</v>
      </c>
      <c r="B121" s="5" t="s">
        <v>223</v>
      </c>
      <c r="C121" s="5" t="s">
        <v>223</v>
      </c>
      <c r="D121" s="5" t="s">
        <v>11</v>
      </c>
      <c r="E121" s="4" t="str">
        <f>"0097126210540"</f>
        <v>0097126210540</v>
      </c>
      <c r="F121" s="2" t="s">
        <v>12</v>
      </c>
      <c r="G121" s="2" t="s">
        <v>13</v>
      </c>
      <c r="H121" t="s">
        <v>14</v>
      </c>
      <c r="I121" s="1">
        <v>46086</v>
      </c>
      <c r="J121" t="s">
        <v>224</v>
      </c>
    </row>
    <row r="122" spans="1:10" x14ac:dyDescent="0.25">
      <c r="A122" s="3">
        <v>46086</v>
      </c>
      <c r="B122" s="5" t="s">
        <v>225</v>
      </c>
      <c r="C122" s="5" t="s">
        <v>225</v>
      </c>
      <c r="D122" s="5" t="s">
        <v>11</v>
      </c>
      <c r="E122" s="4" t="str">
        <f>"0097125542517"</f>
        <v>0097125542517</v>
      </c>
      <c r="F122" s="2" t="s">
        <v>12</v>
      </c>
      <c r="G122" s="2" t="s">
        <v>13</v>
      </c>
      <c r="H122" t="s">
        <v>14</v>
      </c>
      <c r="I122" s="1">
        <v>46086</v>
      </c>
      <c r="J122" t="s">
        <v>226</v>
      </c>
    </row>
    <row r="123" spans="1:10" x14ac:dyDescent="0.25">
      <c r="A123" s="3">
        <v>46086</v>
      </c>
      <c r="B123" s="5" t="s">
        <v>227</v>
      </c>
      <c r="C123" s="5" t="s">
        <v>227</v>
      </c>
      <c r="D123" s="5" t="s">
        <v>228</v>
      </c>
      <c r="E123" s="4" t="str">
        <f>"0097167442500"</f>
        <v>0097167442500</v>
      </c>
      <c r="F123" s="2" t="s">
        <v>12</v>
      </c>
      <c r="G123" s="2" t="s">
        <v>13</v>
      </c>
      <c r="H123" t="s">
        <v>14</v>
      </c>
      <c r="I123" s="1">
        <v>46086</v>
      </c>
      <c r="J123" t="s">
        <v>229</v>
      </c>
    </row>
    <row r="124" spans="1:10" x14ac:dyDescent="0.25">
      <c r="A124" s="3">
        <v>46086</v>
      </c>
      <c r="B124" s="5" t="s">
        <v>230</v>
      </c>
      <c r="C124" s="5" t="s">
        <v>230</v>
      </c>
      <c r="D124" s="5" t="s">
        <v>228</v>
      </c>
      <c r="E124" s="4" t="str">
        <f>"0097167407762"</f>
        <v>0097167407762</v>
      </c>
      <c r="F124" s="2" t="s">
        <v>12</v>
      </c>
      <c r="G124" s="2" t="s">
        <v>13</v>
      </c>
      <c r="H124" t="s">
        <v>14</v>
      </c>
      <c r="I124" s="1">
        <v>46086</v>
      </c>
      <c r="J124" t="s">
        <v>231</v>
      </c>
    </row>
    <row r="125" spans="1:10" x14ac:dyDescent="0.25">
      <c r="A125" s="3">
        <v>46086</v>
      </c>
      <c r="B125" s="5" t="s">
        <v>232</v>
      </c>
      <c r="C125" s="5" t="s">
        <v>232</v>
      </c>
      <c r="D125" s="5" t="s">
        <v>228</v>
      </c>
      <c r="E125" s="4" t="str">
        <f>"00971561905190"</f>
        <v>00971561905190</v>
      </c>
      <c r="F125" s="2" t="s">
        <v>12</v>
      </c>
      <c r="G125" s="2" t="s">
        <v>13</v>
      </c>
      <c r="H125" t="s">
        <v>14</v>
      </c>
      <c r="I125" s="1">
        <v>46086</v>
      </c>
      <c r="J125" t="s">
        <v>233</v>
      </c>
    </row>
    <row r="126" spans="1:10" x14ac:dyDescent="0.25">
      <c r="A126" s="3">
        <v>46086</v>
      </c>
      <c r="B126" s="5" t="s">
        <v>232</v>
      </c>
      <c r="C126" s="5" t="s">
        <v>232</v>
      </c>
      <c r="D126" s="5" t="s">
        <v>228</v>
      </c>
      <c r="E126" s="4" t="str">
        <f>"00971565340387"</f>
        <v>00971565340387</v>
      </c>
      <c r="F126" s="2" t="s">
        <v>12</v>
      </c>
      <c r="G126" s="2" t="s">
        <v>13</v>
      </c>
      <c r="H126" t="s">
        <v>14</v>
      </c>
      <c r="I126" s="1">
        <v>46086</v>
      </c>
      <c r="J126" t="s">
        <v>233</v>
      </c>
    </row>
    <row r="127" spans="1:10" x14ac:dyDescent="0.25">
      <c r="A127" s="3">
        <v>46086</v>
      </c>
      <c r="B127" s="5" t="s">
        <v>234</v>
      </c>
      <c r="C127" s="5" t="s">
        <v>234</v>
      </c>
      <c r="D127" s="5" t="s">
        <v>228</v>
      </c>
      <c r="E127" s="4" t="str">
        <f>"00971581484477"</f>
        <v>00971581484477</v>
      </c>
      <c r="F127" s="2" t="s">
        <v>12</v>
      </c>
      <c r="G127" s="2" t="s">
        <v>13</v>
      </c>
      <c r="H127" t="s">
        <v>14</v>
      </c>
      <c r="I127" s="1">
        <v>46086</v>
      </c>
      <c r="J127" t="s">
        <v>235</v>
      </c>
    </row>
    <row r="128" spans="1:10" x14ac:dyDescent="0.25">
      <c r="A128" s="3">
        <v>46086</v>
      </c>
      <c r="B128" s="5" t="s">
        <v>234</v>
      </c>
      <c r="C128" s="5" t="s">
        <v>234</v>
      </c>
      <c r="D128" s="5" t="s">
        <v>228</v>
      </c>
      <c r="E128" s="4" t="str">
        <f>"0097165240063"</f>
        <v>0097165240063</v>
      </c>
      <c r="F128" s="2" t="s">
        <v>12</v>
      </c>
      <c r="G128" s="2" t="s">
        <v>13</v>
      </c>
      <c r="H128" t="s">
        <v>14</v>
      </c>
      <c r="I128" s="1">
        <v>46086</v>
      </c>
      <c r="J128" t="s">
        <v>236</v>
      </c>
    </row>
    <row r="129" spans="1:10" x14ac:dyDescent="0.25">
      <c r="A129" s="3">
        <v>46086</v>
      </c>
      <c r="B129" s="5" t="s">
        <v>237</v>
      </c>
      <c r="C129" s="5" t="s">
        <v>237</v>
      </c>
      <c r="D129" s="5" t="s">
        <v>228</v>
      </c>
      <c r="E129" s="4" t="str">
        <f>"00971509418432"</f>
        <v>00971509418432</v>
      </c>
      <c r="F129" s="2" t="s">
        <v>12</v>
      </c>
      <c r="G129" s="2" t="s">
        <v>13</v>
      </c>
      <c r="H129" t="s">
        <v>14</v>
      </c>
      <c r="I129" s="1">
        <v>46086</v>
      </c>
      <c r="J129" t="s">
        <v>238</v>
      </c>
    </row>
    <row r="130" spans="1:10" x14ac:dyDescent="0.25">
      <c r="A130" s="3">
        <v>46086</v>
      </c>
      <c r="B130" s="5" t="s">
        <v>237</v>
      </c>
      <c r="C130" s="5" t="s">
        <v>237</v>
      </c>
      <c r="D130" s="5" t="s">
        <v>228</v>
      </c>
      <c r="E130" s="4" t="str">
        <f>"00971556960957"</f>
        <v>00971556960957</v>
      </c>
      <c r="F130" s="2" t="s">
        <v>12</v>
      </c>
      <c r="G130" s="2" t="s">
        <v>13</v>
      </c>
      <c r="H130" t="s">
        <v>14</v>
      </c>
      <c r="I130" s="1">
        <v>46086</v>
      </c>
      <c r="J130" t="s">
        <v>238</v>
      </c>
    </row>
    <row r="131" spans="1:10" x14ac:dyDescent="0.25">
      <c r="A131" s="3">
        <v>46086</v>
      </c>
      <c r="B131" s="5" t="s">
        <v>239</v>
      </c>
      <c r="C131" s="5" t="s">
        <v>239</v>
      </c>
      <c r="D131" s="5" t="s">
        <v>228</v>
      </c>
      <c r="E131" s="4" t="str">
        <f>"0097167436542"</f>
        <v>0097167436542</v>
      </c>
      <c r="F131" s="2" t="s">
        <v>12</v>
      </c>
      <c r="G131" s="2" t="s">
        <v>13</v>
      </c>
      <c r="H131" t="s">
        <v>14</v>
      </c>
      <c r="I131" s="1">
        <v>46086</v>
      </c>
      <c r="J131" t="s">
        <v>240</v>
      </c>
    </row>
    <row r="132" spans="1:10" x14ac:dyDescent="0.25">
      <c r="A132" s="3">
        <v>46086</v>
      </c>
      <c r="B132" s="5" t="s">
        <v>241</v>
      </c>
      <c r="C132" s="5" t="s">
        <v>241</v>
      </c>
      <c r="D132" s="5" t="s">
        <v>228</v>
      </c>
      <c r="E132" s="4" t="str">
        <f>"0097167425555"</f>
        <v>0097167425555</v>
      </c>
      <c r="F132" s="2" t="s">
        <v>12</v>
      </c>
      <c r="G132" s="2" t="s">
        <v>13</v>
      </c>
      <c r="H132" t="s">
        <v>14</v>
      </c>
      <c r="I132" s="1">
        <v>46086</v>
      </c>
      <c r="J132" t="s">
        <v>242</v>
      </c>
    </row>
    <row r="133" spans="1:10" x14ac:dyDescent="0.25">
      <c r="A133" s="3">
        <v>46086</v>
      </c>
      <c r="B133" s="5" t="s">
        <v>243</v>
      </c>
      <c r="C133" s="5" t="s">
        <v>243</v>
      </c>
      <c r="D133" s="5" t="s">
        <v>228</v>
      </c>
      <c r="E133" s="4" t="str">
        <f>"0097167444412"</f>
        <v>0097167444412</v>
      </c>
      <c r="F133" s="2" t="s">
        <v>12</v>
      </c>
      <c r="G133" s="2" t="s">
        <v>13</v>
      </c>
      <c r="H133" t="s">
        <v>14</v>
      </c>
      <c r="I133" s="1">
        <v>46086</v>
      </c>
      <c r="J133" t="s">
        <v>244</v>
      </c>
    </row>
    <row r="134" spans="1:10" x14ac:dyDescent="0.25">
      <c r="A134" s="3">
        <v>46086</v>
      </c>
      <c r="B134" s="5" t="s">
        <v>245</v>
      </c>
      <c r="C134" s="5" t="s">
        <v>245</v>
      </c>
      <c r="D134" s="5" t="s">
        <v>228</v>
      </c>
      <c r="E134" s="4" t="str">
        <f>"0097167427908"</f>
        <v>0097167427908</v>
      </c>
      <c r="F134" s="2" t="s">
        <v>12</v>
      </c>
      <c r="G134" s="2" t="s">
        <v>13</v>
      </c>
      <c r="H134" t="s">
        <v>14</v>
      </c>
      <c r="I134" s="1">
        <v>46086</v>
      </c>
      <c r="J134" t="s">
        <v>246</v>
      </c>
    </row>
    <row r="135" spans="1:10" x14ac:dyDescent="0.25">
      <c r="A135" s="3">
        <v>46086</v>
      </c>
      <c r="B135" s="5" t="s">
        <v>247</v>
      </c>
      <c r="C135" s="5" t="s">
        <v>247</v>
      </c>
      <c r="D135" s="5" t="s">
        <v>228</v>
      </c>
      <c r="E135" s="4" t="str">
        <f>"0097167432220"</f>
        <v>0097167432220</v>
      </c>
      <c r="F135" s="2" t="s">
        <v>12</v>
      </c>
      <c r="G135" s="2" t="s">
        <v>13</v>
      </c>
      <c r="H135" t="s">
        <v>14</v>
      </c>
      <c r="I135" s="1">
        <v>46086</v>
      </c>
      <c r="J135" t="s">
        <v>248</v>
      </c>
    </row>
    <row r="136" spans="1:10" x14ac:dyDescent="0.25">
      <c r="A136" s="3">
        <v>46086</v>
      </c>
      <c r="B136" s="5" t="s">
        <v>249</v>
      </c>
      <c r="C136" s="5" t="s">
        <v>249</v>
      </c>
      <c r="D136" s="5" t="s">
        <v>228</v>
      </c>
      <c r="E136" s="4" t="str">
        <f>"00971529692287"</f>
        <v>00971529692287</v>
      </c>
      <c r="F136" s="2" t="s">
        <v>12</v>
      </c>
      <c r="G136" s="2" t="s">
        <v>13</v>
      </c>
      <c r="H136" t="s">
        <v>14</v>
      </c>
      <c r="I136" s="1">
        <v>46086</v>
      </c>
      <c r="J136" t="s">
        <v>250</v>
      </c>
    </row>
    <row r="137" spans="1:10" x14ac:dyDescent="0.25">
      <c r="A137" s="3">
        <v>46086</v>
      </c>
      <c r="B137" s="5" t="s">
        <v>251</v>
      </c>
      <c r="C137" s="5" t="s">
        <v>251</v>
      </c>
      <c r="D137" s="5" t="s">
        <v>228</v>
      </c>
      <c r="E137" s="4" t="str">
        <f>"0097167438773"</f>
        <v>0097167438773</v>
      </c>
      <c r="F137" s="2" t="s">
        <v>12</v>
      </c>
      <c r="G137" s="2" t="s">
        <v>13</v>
      </c>
      <c r="H137" t="s">
        <v>14</v>
      </c>
      <c r="I137" s="1">
        <v>46086</v>
      </c>
      <c r="J137" t="s">
        <v>252</v>
      </c>
    </row>
    <row r="138" spans="1:10" x14ac:dyDescent="0.25">
      <c r="A138" s="3">
        <v>46086</v>
      </c>
      <c r="B138" s="5" t="s">
        <v>253</v>
      </c>
      <c r="C138" s="5" t="s">
        <v>253</v>
      </c>
      <c r="D138" s="5" t="s">
        <v>228</v>
      </c>
      <c r="E138" s="4" t="str">
        <f>"0097167480904"</f>
        <v>0097167480904</v>
      </c>
      <c r="F138" s="2" t="s">
        <v>12</v>
      </c>
      <c r="G138" s="2" t="s">
        <v>13</v>
      </c>
      <c r="H138" t="s">
        <v>14</v>
      </c>
      <c r="I138" s="1">
        <v>46086</v>
      </c>
      <c r="J138" t="s">
        <v>254</v>
      </c>
    </row>
    <row r="139" spans="1:10" x14ac:dyDescent="0.25">
      <c r="A139" s="3">
        <v>46086</v>
      </c>
      <c r="B139" s="5" t="s">
        <v>255</v>
      </c>
      <c r="C139" s="5" t="s">
        <v>255</v>
      </c>
      <c r="D139" s="5" t="s">
        <v>228</v>
      </c>
      <c r="E139" s="4" t="str">
        <f>"0097167450844"</f>
        <v>0097167450844</v>
      </c>
      <c r="F139" s="2" t="s">
        <v>12</v>
      </c>
      <c r="G139" s="2" t="s">
        <v>13</v>
      </c>
      <c r="H139" t="s">
        <v>14</v>
      </c>
      <c r="I139" s="1">
        <v>46086</v>
      </c>
      <c r="J139" t="s">
        <v>256</v>
      </c>
    </row>
    <row r="140" spans="1:10" x14ac:dyDescent="0.25">
      <c r="A140" s="3">
        <v>46086</v>
      </c>
      <c r="B140" s="5" t="s">
        <v>257</v>
      </c>
      <c r="C140" s="5" t="s">
        <v>257</v>
      </c>
      <c r="D140" s="5" t="s">
        <v>228</v>
      </c>
      <c r="E140" s="4" t="str">
        <f>"0097167482871"</f>
        <v>0097167482871</v>
      </c>
      <c r="F140" s="2" t="s">
        <v>12</v>
      </c>
      <c r="G140" s="2" t="s">
        <v>13</v>
      </c>
      <c r="H140" t="s">
        <v>14</v>
      </c>
      <c r="I140" s="1">
        <v>46086</v>
      </c>
      <c r="J140" t="s">
        <v>258</v>
      </c>
    </row>
    <row r="141" spans="1:10" x14ac:dyDescent="0.25">
      <c r="A141" s="3">
        <v>46086</v>
      </c>
      <c r="B141" s="5" t="s">
        <v>259</v>
      </c>
      <c r="C141" s="5" t="s">
        <v>259</v>
      </c>
      <c r="D141" s="5" t="s">
        <v>228</v>
      </c>
      <c r="E141" s="4" t="str">
        <f>"0097167432774"</f>
        <v>0097167432774</v>
      </c>
      <c r="F141" s="2" t="s">
        <v>12</v>
      </c>
      <c r="G141" s="2" t="s">
        <v>13</v>
      </c>
      <c r="H141" t="s">
        <v>14</v>
      </c>
      <c r="I141" s="1">
        <v>46086</v>
      </c>
      <c r="J141" t="s">
        <v>260</v>
      </c>
    </row>
    <row r="142" spans="1:10" x14ac:dyDescent="0.25">
      <c r="A142" s="3">
        <v>46086</v>
      </c>
      <c r="B142" s="5" t="s">
        <v>261</v>
      </c>
      <c r="C142" s="5" t="s">
        <v>261</v>
      </c>
      <c r="D142" s="5" t="s">
        <v>228</v>
      </c>
      <c r="E142" s="4" t="str">
        <f>"0097167427174"</f>
        <v>0097167427174</v>
      </c>
      <c r="F142" s="2" t="s">
        <v>12</v>
      </c>
      <c r="G142" s="2" t="s">
        <v>13</v>
      </c>
      <c r="H142" t="s">
        <v>14</v>
      </c>
      <c r="I142" s="1">
        <v>46086</v>
      </c>
      <c r="J142" t="s">
        <v>262</v>
      </c>
    </row>
    <row r="143" spans="1:10" x14ac:dyDescent="0.25">
      <c r="A143" s="3">
        <v>46086</v>
      </c>
      <c r="B143" s="5" t="s">
        <v>263</v>
      </c>
      <c r="C143" s="5" t="s">
        <v>263</v>
      </c>
      <c r="D143" s="5" t="s">
        <v>228</v>
      </c>
      <c r="E143" s="4" t="str">
        <f>"00971506976719"</f>
        <v>00971506976719</v>
      </c>
      <c r="F143" s="2" t="s">
        <v>12</v>
      </c>
      <c r="G143" s="2" t="s">
        <v>13</v>
      </c>
      <c r="H143" t="s">
        <v>14</v>
      </c>
      <c r="I143" s="1">
        <v>46086</v>
      </c>
      <c r="J143" t="s">
        <v>264</v>
      </c>
    </row>
    <row r="144" spans="1:10" x14ac:dyDescent="0.25">
      <c r="A144" s="3">
        <v>46086</v>
      </c>
      <c r="B144" s="5" t="s">
        <v>265</v>
      </c>
      <c r="C144" s="5" t="s">
        <v>265</v>
      </c>
      <c r="D144" s="5" t="s">
        <v>228</v>
      </c>
      <c r="E144" s="4" t="str">
        <f>"0097167448811"</f>
        <v>0097167448811</v>
      </c>
      <c r="F144" s="2" t="s">
        <v>12</v>
      </c>
      <c r="G144" s="2" t="s">
        <v>13</v>
      </c>
      <c r="H144" t="s">
        <v>14</v>
      </c>
      <c r="I144" s="1">
        <v>46086</v>
      </c>
      <c r="J144" t="s">
        <v>266</v>
      </c>
    </row>
    <row r="145" spans="1:10" x14ac:dyDescent="0.25">
      <c r="A145" s="3">
        <v>46086</v>
      </c>
      <c r="B145" s="5" t="s">
        <v>267</v>
      </c>
      <c r="C145" s="5" t="s">
        <v>267</v>
      </c>
      <c r="D145" s="5" t="s">
        <v>228</v>
      </c>
      <c r="E145" s="4" t="str">
        <f>"00971507169030"</f>
        <v>00971507169030</v>
      </c>
      <c r="F145" s="2" t="s">
        <v>12</v>
      </c>
      <c r="G145" s="2" t="s">
        <v>13</v>
      </c>
      <c r="H145" t="s">
        <v>14</v>
      </c>
      <c r="I145" s="1">
        <v>46086</v>
      </c>
      <c r="J145" t="s">
        <v>268</v>
      </c>
    </row>
    <row r="146" spans="1:10" x14ac:dyDescent="0.25">
      <c r="A146" s="3">
        <v>46086</v>
      </c>
      <c r="B146" s="5" t="s">
        <v>267</v>
      </c>
      <c r="C146" s="5" t="s">
        <v>267</v>
      </c>
      <c r="D146" s="5" t="s">
        <v>228</v>
      </c>
      <c r="E146" s="4" t="str">
        <f>"0097167046551"</f>
        <v>0097167046551</v>
      </c>
      <c r="F146" s="2" t="s">
        <v>12</v>
      </c>
      <c r="G146" s="2" t="s">
        <v>13</v>
      </c>
      <c r="H146" t="s">
        <v>14</v>
      </c>
      <c r="I146" s="1">
        <v>46086</v>
      </c>
      <c r="J146" t="s">
        <v>269</v>
      </c>
    </row>
    <row r="147" spans="1:10" x14ac:dyDescent="0.25">
      <c r="A147" s="3">
        <v>46086</v>
      </c>
      <c r="B147" s="5" t="s">
        <v>270</v>
      </c>
      <c r="C147" s="5" t="s">
        <v>270</v>
      </c>
      <c r="D147" s="5" t="s">
        <v>228</v>
      </c>
      <c r="E147" s="4" t="str">
        <f>"00971525716677"</f>
        <v>00971525716677</v>
      </c>
      <c r="F147" s="2" t="s">
        <v>12</v>
      </c>
      <c r="G147" s="2" t="s">
        <v>13</v>
      </c>
      <c r="H147" t="s">
        <v>14</v>
      </c>
      <c r="I147" s="1">
        <v>46086</v>
      </c>
      <c r="J147" t="s">
        <v>271</v>
      </c>
    </row>
    <row r="148" spans="1:10" x14ac:dyDescent="0.25">
      <c r="A148" s="3">
        <v>46086</v>
      </c>
      <c r="B148" s="5" t="s">
        <v>272</v>
      </c>
      <c r="C148" s="5" t="s">
        <v>272</v>
      </c>
      <c r="D148" s="5" t="s">
        <v>228</v>
      </c>
      <c r="E148" s="4" t="str">
        <f>"00971526565760"</f>
        <v>00971526565760</v>
      </c>
      <c r="F148" s="2" t="s">
        <v>12</v>
      </c>
      <c r="G148" s="2" t="s">
        <v>13</v>
      </c>
      <c r="H148" t="s">
        <v>14</v>
      </c>
      <c r="I148" s="1">
        <v>46086</v>
      </c>
      <c r="J148" t="s">
        <v>273</v>
      </c>
    </row>
    <row r="149" spans="1:10" x14ac:dyDescent="0.25">
      <c r="A149" s="3">
        <v>46086</v>
      </c>
      <c r="B149" s="5" t="s">
        <v>274</v>
      </c>
      <c r="C149" s="5" t="s">
        <v>274</v>
      </c>
      <c r="D149" s="5" t="s">
        <v>228</v>
      </c>
      <c r="E149" s="4" t="str">
        <f>"0097167475599"</f>
        <v>0097167475599</v>
      </c>
      <c r="F149" s="2" t="s">
        <v>12</v>
      </c>
      <c r="G149" s="2" t="s">
        <v>13</v>
      </c>
      <c r="H149" t="s">
        <v>14</v>
      </c>
      <c r="I149" s="1">
        <v>46086</v>
      </c>
      <c r="J149" t="s">
        <v>275</v>
      </c>
    </row>
    <row r="150" spans="1:10" x14ac:dyDescent="0.25">
      <c r="A150" s="3">
        <v>46086</v>
      </c>
      <c r="B150" s="5" t="s">
        <v>276</v>
      </c>
      <c r="C150" s="5" t="s">
        <v>276</v>
      </c>
      <c r="D150" s="5" t="s">
        <v>228</v>
      </c>
      <c r="E150" s="4" t="str">
        <f>"00971551435222"</f>
        <v>00971551435222</v>
      </c>
      <c r="F150" s="2" t="s">
        <v>12</v>
      </c>
      <c r="G150" s="2" t="s">
        <v>13</v>
      </c>
      <c r="H150" t="s">
        <v>14</v>
      </c>
      <c r="I150" s="1">
        <v>46086</v>
      </c>
      <c r="J150" t="s">
        <v>277</v>
      </c>
    </row>
    <row r="151" spans="1:10" x14ac:dyDescent="0.25">
      <c r="A151" s="3">
        <v>46086</v>
      </c>
      <c r="B151" s="5" t="s">
        <v>278</v>
      </c>
      <c r="C151" s="5" t="s">
        <v>278</v>
      </c>
      <c r="D151" s="5" t="s">
        <v>228</v>
      </c>
      <c r="E151" s="4" t="str">
        <f>"00971555674952"</f>
        <v>00971555674952</v>
      </c>
      <c r="F151" s="2" t="s">
        <v>12</v>
      </c>
      <c r="G151" s="2" t="s">
        <v>13</v>
      </c>
      <c r="H151" t="s">
        <v>14</v>
      </c>
      <c r="I151" s="1">
        <v>46086</v>
      </c>
      <c r="J151" t="s">
        <v>279</v>
      </c>
    </row>
    <row r="152" spans="1:10" x14ac:dyDescent="0.25">
      <c r="A152" s="3">
        <v>46086</v>
      </c>
      <c r="B152" s="5" t="s">
        <v>280</v>
      </c>
      <c r="C152" s="5" t="s">
        <v>280</v>
      </c>
      <c r="D152" s="5" t="s">
        <v>228</v>
      </c>
      <c r="E152" s="4" t="str">
        <f>"0097167465332"</f>
        <v>0097167465332</v>
      </c>
      <c r="F152" s="2" t="s">
        <v>12</v>
      </c>
      <c r="G152" s="2" t="s">
        <v>13</v>
      </c>
      <c r="H152" t="s">
        <v>14</v>
      </c>
      <c r="I152" s="1">
        <v>46086</v>
      </c>
      <c r="J152" t="s">
        <v>281</v>
      </c>
    </row>
    <row r="153" spans="1:10" x14ac:dyDescent="0.25">
      <c r="A153" s="3">
        <v>46086</v>
      </c>
      <c r="B153" s="5" t="s">
        <v>282</v>
      </c>
      <c r="C153" s="5" t="s">
        <v>282</v>
      </c>
      <c r="D153" s="5" t="s">
        <v>228</v>
      </c>
      <c r="E153" s="4" t="str">
        <f>"00971552822655"</f>
        <v>00971552822655</v>
      </c>
      <c r="F153" s="2" t="s">
        <v>12</v>
      </c>
      <c r="G153" s="2" t="s">
        <v>13</v>
      </c>
      <c r="H153" t="s">
        <v>14</v>
      </c>
      <c r="I153" s="1">
        <v>46086</v>
      </c>
      <c r="J153" t="s">
        <v>283</v>
      </c>
    </row>
    <row r="154" spans="1:10" x14ac:dyDescent="0.25">
      <c r="A154" s="3">
        <v>46086</v>
      </c>
      <c r="B154" s="5" t="s">
        <v>282</v>
      </c>
      <c r="C154" s="5" t="s">
        <v>282</v>
      </c>
      <c r="D154" s="5" t="s">
        <v>228</v>
      </c>
      <c r="E154" s="4" t="str">
        <f>"0097167417171"</f>
        <v>0097167417171</v>
      </c>
      <c r="F154" s="2" t="s">
        <v>12</v>
      </c>
      <c r="G154" s="2" t="s">
        <v>13</v>
      </c>
      <c r="H154" t="s">
        <v>14</v>
      </c>
      <c r="I154" s="1">
        <v>46086</v>
      </c>
      <c r="J154" t="s">
        <v>284</v>
      </c>
    </row>
    <row r="155" spans="1:10" x14ac:dyDescent="0.25">
      <c r="A155" s="3">
        <v>46086</v>
      </c>
      <c r="B155" s="5" t="s">
        <v>285</v>
      </c>
      <c r="C155" s="5" t="s">
        <v>285</v>
      </c>
      <c r="D155" s="5" t="s">
        <v>228</v>
      </c>
      <c r="E155" s="4" t="str">
        <f>"0097167432446"</f>
        <v>0097167432446</v>
      </c>
      <c r="F155" s="2" t="s">
        <v>12</v>
      </c>
      <c r="G155" s="2" t="s">
        <v>13</v>
      </c>
      <c r="H155" t="s">
        <v>14</v>
      </c>
      <c r="I155" s="1">
        <v>46086</v>
      </c>
      <c r="J155" t="s">
        <v>286</v>
      </c>
    </row>
    <row r="156" spans="1:10" x14ac:dyDescent="0.25">
      <c r="A156" s="3">
        <v>46086</v>
      </c>
      <c r="B156" s="5" t="s">
        <v>287</v>
      </c>
      <c r="C156" s="5" t="s">
        <v>287</v>
      </c>
      <c r="D156" s="5" t="s">
        <v>228</v>
      </c>
      <c r="E156" s="4" t="str">
        <f>"0097167441454"</f>
        <v>0097167441454</v>
      </c>
      <c r="F156" s="2" t="s">
        <v>12</v>
      </c>
      <c r="G156" s="2" t="s">
        <v>13</v>
      </c>
      <c r="H156" t="s">
        <v>14</v>
      </c>
      <c r="I156" s="1">
        <v>46086</v>
      </c>
      <c r="J156" t="s">
        <v>288</v>
      </c>
    </row>
    <row r="157" spans="1:10" x14ac:dyDescent="0.25">
      <c r="A157" s="3">
        <v>46086</v>
      </c>
      <c r="B157" s="5" t="s">
        <v>289</v>
      </c>
      <c r="C157" s="5" t="s">
        <v>289</v>
      </c>
      <c r="D157" s="5" t="s">
        <v>228</v>
      </c>
      <c r="E157" s="4" t="str">
        <f>"00971526904716"</f>
        <v>00971526904716</v>
      </c>
      <c r="F157" s="2" t="s">
        <v>12</v>
      </c>
      <c r="G157" s="2" t="s">
        <v>13</v>
      </c>
      <c r="H157" t="s">
        <v>14</v>
      </c>
      <c r="I157" s="1">
        <v>46086</v>
      </c>
      <c r="J157" t="s">
        <v>290</v>
      </c>
    </row>
    <row r="158" spans="1:10" x14ac:dyDescent="0.25">
      <c r="A158" s="3">
        <v>46086</v>
      </c>
      <c r="B158" s="5" t="s">
        <v>289</v>
      </c>
      <c r="C158" s="5" t="s">
        <v>289</v>
      </c>
      <c r="D158" s="5" t="s">
        <v>228</v>
      </c>
      <c r="E158" s="4" t="str">
        <f>"0097167486828"</f>
        <v>0097167486828</v>
      </c>
      <c r="F158" s="2" t="s">
        <v>12</v>
      </c>
      <c r="G158" s="2" t="s">
        <v>13</v>
      </c>
      <c r="H158" t="s">
        <v>14</v>
      </c>
      <c r="I158" s="1">
        <v>46086</v>
      </c>
      <c r="J158" t="s">
        <v>291</v>
      </c>
    </row>
    <row r="159" spans="1:10" x14ac:dyDescent="0.25">
      <c r="A159" s="3">
        <v>46086</v>
      </c>
      <c r="B159" s="5" t="s">
        <v>292</v>
      </c>
      <c r="C159" s="5" t="s">
        <v>292</v>
      </c>
      <c r="D159" s="5" t="s">
        <v>228</v>
      </c>
      <c r="E159" s="4" t="str">
        <f>"00971523803022"</f>
        <v>00971523803022</v>
      </c>
      <c r="F159" s="2" t="s">
        <v>12</v>
      </c>
      <c r="G159" s="2" t="s">
        <v>13</v>
      </c>
      <c r="H159" t="s">
        <v>14</v>
      </c>
      <c r="I159" s="1">
        <v>46086</v>
      </c>
      <c r="J159" t="s">
        <v>293</v>
      </c>
    </row>
    <row r="160" spans="1:10" x14ac:dyDescent="0.25">
      <c r="A160" s="3">
        <v>46086</v>
      </c>
      <c r="B160" s="5" t="s">
        <v>292</v>
      </c>
      <c r="C160" s="5" t="s">
        <v>292</v>
      </c>
      <c r="D160" s="5" t="s">
        <v>228</v>
      </c>
      <c r="E160" s="4" t="str">
        <f>"0097167155790"</f>
        <v>0097167155790</v>
      </c>
      <c r="F160" s="2" t="s">
        <v>12</v>
      </c>
      <c r="G160" s="2" t="s">
        <v>13</v>
      </c>
      <c r="H160" t="s">
        <v>14</v>
      </c>
      <c r="I160" s="1">
        <v>46086</v>
      </c>
      <c r="J160" t="s">
        <v>294</v>
      </c>
    </row>
    <row r="161" spans="1:10" x14ac:dyDescent="0.25">
      <c r="A161" s="3">
        <v>46086</v>
      </c>
      <c r="B161" s="5" t="s">
        <v>295</v>
      </c>
      <c r="C161" s="5" t="s">
        <v>295</v>
      </c>
      <c r="D161" s="5" t="s">
        <v>228</v>
      </c>
      <c r="E161" s="4" t="str">
        <f>"00971503065100"</f>
        <v>00971503065100</v>
      </c>
      <c r="F161" s="2" t="s">
        <v>12</v>
      </c>
      <c r="G161" s="2" t="s">
        <v>13</v>
      </c>
      <c r="H161" t="s">
        <v>14</v>
      </c>
      <c r="I161" s="1">
        <v>46086</v>
      </c>
      <c r="J161" t="s">
        <v>296</v>
      </c>
    </row>
    <row r="162" spans="1:10" x14ac:dyDescent="0.25">
      <c r="A162" s="3">
        <v>46086</v>
      </c>
      <c r="B162" s="5" t="s">
        <v>295</v>
      </c>
      <c r="C162" s="5" t="s">
        <v>295</v>
      </c>
      <c r="D162" s="5" t="s">
        <v>228</v>
      </c>
      <c r="E162" s="4" t="str">
        <f>"0097165357867"</f>
        <v>0097165357867</v>
      </c>
      <c r="F162" s="2" t="s">
        <v>12</v>
      </c>
      <c r="G162" s="2" t="s">
        <v>13</v>
      </c>
      <c r="H162" t="s">
        <v>14</v>
      </c>
      <c r="I162" s="1">
        <v>46086</v>
      </c>
      <c r="J162" t="s">
        <v>297</v>
      </c>
    </row>
    <row r="163" spans="1:10" x14ac:dyDescent="0.25">
      <c r="A163" s="3">
        <v>46086</v>
      </c>
      <c r="B163" s="5" t="s">
        <v>298</v>
      </c>
      <c r="C163" s="5" t="s">
        <v>298</v>
      </c>
      <c r="D163" s="5" t="s">
        <v>228</v>
      </c>
      <c r="E163" s="4" t="str">
        <f>"0097167438606"</f>
        <v>0097167438606</v>
      </c>
      <c r="F163" s="2" t="s">
        <v>12</v>
      </c>
      <c r="G163" s="2" t="s">
        <v>13</v>
      </c>
      <c r="H163" t="s">
        <v>14</v>
      </c>
      <c r="I163" s="1">
        <v>46086</v>
      </c>
      <c r="J163" t="s">
        <v>299</v>
      </c>
    </row>
    <row r="164" spans="1:10" x14ac:dyDescent="0.25">
      <c r="A164" s="3">
        <v>46086</v>
      </c>
      <c r="B164" s="5" t="s">
        <v>300</v>
      </c>
      <c r="C164" s="5" t="s">
        <v>300</v>
      </c>
      <c r="D164" s="5" t="s">
        <v>228</v>
      </c>
      <c r="E164" s="4" t="str">
        <f>"0097167466015"</f>
        <v>0097167466015</v>
      </c>
      <c r="F164" s="2" t="s">
        <v>12</v>
      </c>
      <c r="G164" s="2" t="s">
        <v>13</v>
      </c>
      <c r="H164" t="s">
        <v>14</v>
      </c>
      <c r="I164" s="1">
        <v>46086</v>
      </c>
      <c r="J164" t="s">
        <v>301</v>
      </c>
    </row>
    <row r="165" spans="1:10" x14ac:dyDescent="0.25">
      <c r="A165" s="3">
        <v>46086</v>
      </c>
      <c r="B165" s="5" t="s">
        <v>302</v>
      </c>
      <c r="C165" s="5" t="s">
        <v>302</v>
      </c>
      <c r="D165" s="5" t="s">
        <v>228</v>
      </c>
      <c r="E165" s="4" t="str">
        <f>"0097168827869"</f>
        <v>0097168827869</v>
      </c>
      <c r="F165" s="2" t="s">
        <v>12</v>
      </c>
      <c r="G165" s="2" t="s">
        <v>13</v>
      </c>
      <c r="H165" t="s">
        <v>14</v>
      </c>
      <c r="I165" s="1">
        <v>46086</v>
      </c>
      <c r="J165" t="s">
        <v>303</v>
      </c>
    </row>
    <row r="166" spans="1:10" x14ac:dyDescent="0.25">
      <c r="A166" s="3">
        <v>46086</v>
      </c>
      <c r="B166" s="5" t="s">
        <v>304</v>
      </c>
      <c r="C166" s="5" t="s">
        <v>304</v>
      </c>
      <c r="D166" s="5" t="s">
        <v>228</v>
      </c>
      <c r="E166" s="4" t="str">
        <f>"0097167422558"</f>
        <v>0097167422558</v>
      </c>
      <c r="F166" s="2" t="s">
        <v>12</v>
      </c>
      <c r="G166" s="2" t="s">
        <v>13</v>
      </c>
      <c r="H166" t="s">
        <v>14</v>
      </c>
      <c r="I166" s="1">
        <v>46086</v>
      </c>
      <c r="J166" t="s">
        <v>305</v>
      </c>
    </row>
    <row r="167" spans="1:10" x14ac:dyDescent="0.25">
      <c r="A167" s="3">
        <v>46086</v>
      </c>
      <c r="B167" s="5" t="s">
        <v>306</v>
      </c>
      <c r="C167" s="5" t="s">
        <v>306</v>
      </c>
      <c r="D167" s="5" t="s">
        <v>228</v>
      </c>
      <c r="E167" s="4" t="str">
        <f>"00971543358211"</f>
        <v>00971543358211</v>
      </c>
      <c r="F167" s="2" t="s">
        <v>12</v>
      </c>
      <c r="G167" s="2" t="s">
        <v>13</v>
      </c>
      <c r="H167" t="s">
        <v>14</v>
      </c>
      <c r="I167" s="1">
        <v>46086</v>
      </c>
      <c r="J167" t="s">
        <v>307</v>
      </c>
    </row>
    <row r="168" spans="1:10" x14ac:dyDescent="0.25">
      <c r="A168" s="3">
        <v>46086</v>
      </c>
      <c r="B168" s="5" t="s">
        <v>306</v>
      </c>
      <c r="C168" s="5" t="s">
        <v>306</v>
      </c>
      <c r="D168" s="5" t="s">
        <v>228</v>
      </c>
      <c r="E168" s="4" t="str">
        <f>"0097167310722"</f>
        <v>0097167310722</v>
      </c>
      <c r="F168" s="2" t="s">
        <v>12</v>
      </c>
      <c r="G168" s="2" t="s">
        <v>13</v>
      </c>
      <c r="H168" t="s">
        <v>14</v>
      </c>
      <c r="I168" s="1">
        <v>46086</v>
      </c>
      <c r="J168" t="s">
        <v>308</v>
      </c>
    </row>
    <row r="169" spans="1:10" x14ac:dyDescent="0.25">
      <c r="A169" s="3">
        <v>46086</v>
      </c>
      <c r="B169" s="5" t="s">
        <v>309</v>
      </c>
      <c r="C169" s="5" t="s">
        <v>309</v>
      </c>
      <c r="D169" s="5" t="s">
        <v>228</v>
      </c>
      <c r="E169" s="4" t="str">
        <f>"0097167432699"</f>
        <v>0097167432699</v>
      </c>
      <c r="F169" s="2" t="s">
        <v>12</v>
      </c>
      <c r="G169" s="2" t="s">
        <v>13</v>
      </c>
      <c r="H169" t="s">
        <v>14</v>
      </c>
      <c r="I169" s="1">
        <v>46086</v>
      </c>
      <c r="J169" t="s">
        <v>310</v>
      </c>
    </row>
    <row r="170" spans="1:10" x14ac:dyDescent="0.25">
      <c r="A170" s="3">
        <v>46086</v>
      </c>
      <c r="B170" s="5" t="s">
        <v>311</v>
      </c>
      <c r="C170" s="5" t="s">
        <v>311</v>
      </c>
      <c r="D170" s="5" t="s">
        <v>228</v>
      </c>
      <c r="E170" s="4" t="str">
        <f>"00971554914907"</f>
        <v>00971554914907</v>
      </c>
      <c r="F170" s="2" t="s">
        <v>12</v>
      </c>
      <c r="G170" s="2" t="s">
        <v>13</v>
      </c>
      <c r="H170" t="s">
        <v>14</v>
      </c>
      <c r="I170" s="1">
        <v>46086</v>
      </c>
      <c r="J170" t="s">
        <v>312</v>
      </c>
    </row>
    <row r="171" spans="1:10" x14ac:dyDescent="0.25">
      <c r="A171" s="3">
        <v>46086</v>
      </c>
      <c r="B171" s="5" t="s">
        <v>311</v>
      </c>
      <c r="C171" s="5" t="s">
        <v>311</v>
      </c>
      <c r="D171" s="5" t="s">
        <v>228</v>
      </c>
      <c r="E171" s="4" t="str">
        <f>"00971559229505"</f>
        <v>00971559229505</v>
      </c>
      <c r="F171" s="2" t="s">
        <v>12</v>
      </c>
      <c r="G171" s="2" t="s">
        <v>13</v>
      </c>
      <c r="H171" t="s">
        <v>14</v>
      </c>
      <c r="I171" s="1">
        <v>46086</v>
      </c>
      <c r="J171" t="s">
        <v>312</v>
      </c>
    </row>
    <row r="172" spans="1:10" x14ac:dyDescent="0.25">
      <c r="A172" s="3">
        <v>46086</v>
      </c>
      <c r="B172" s="5" t="s">
        <v>313</v>
      </c>
      <c r="C172" s="5" t="s">
        <v>313</v>
      </c>
      <c r="D172" s="5" t="s">
        <v>228</v>
      </c>
      <c r="E172" s="4" t="str">
        <f>"00971559615858"</f>
        <v>00971559615858</v>
      </c>
      <c r="F172" s="2" t="s">
        <v>12</v>
      </c>
      <c r="G172" s="2" t="s">
        <v>13</v>
      </c>
      <c r="H172" t="s">
        <v>14</v>
      </c>
      <c r="I172" s="1">
        <v>46086</v>
      </c>
      <c r="J172" t="s">
        <v>314</v>
      </c>
    </row>
    <row r="173" spans="1:10" x14ac:dyDescent="0.25">
      <c r="A173" s="3">
        <v>46086</v>
      </c>
      <c r="B173" s="5" t="s">
        <v>313</v>
      </c>
      <c r="C173" s="5" t="s">
        <v>313</v>
      </c>
      <c r="D173" s="5" t="s">
        <v>228</v>
      </c>
      <c r="E173" s="4" t="str">
        <f>"0097167430277"</f>
        <v>0097167430277</v>
      </c>
      <c r="F173" s="2" t="s">
        <v>12</v>
      </c>
      <c r="G173" s="2" t="s">
        <v>13</v>
      </c>
      <c r="H173" t="s">
        <v>14</v>
      </c>
      <c r="I173" s="1">
        <v>46086</v>
      </c>
      <c r="J173" t="s">
        <v>315</v>
      </c>
    </row>
    <row r="174" spans="1:10" x14ac:dyDescent="0.25">
      <c r="A174" s="3">
        <v>46086</v>
      </c>
      <c r="B174" s="5" t="s">
        <v>316</v>
      </c>
      <c r="C174" s="5" t="s">
        <v>316</v>
      </c>
      <c r="D174" s="5" t="s">
        <v>228</v>
      </c>
      <c r="E174" s="4" t="str">
        <f>"00971562905954"</f>
        <v>00971562905954</v>
      </c>
      <c r="F174" s="2" t="s">
        <v>12</v>
      </c>
      <c r="G174" s="2" t="s">
        <v>13</v>
      </c>
      <c r="H174" t="s">
        <v>14</v>
      </c>
      <c r="I174" s="1">
        <v>46086</v>
      </c>
      <c r="J174" t="s">
        <v>317</v>
      </c>
    </row>
    <row r="175" spans="1:10" x14ac:dyDescent="0.25">
      <c r="A175" s="3">
        <v>46086</v>
      </c>
      <c r="B175" s="5" t="s">
        <v>316</v>
      </c>
      <c r="C175" s="5" t="s">
        <v>316</v>
      </c>
      <c r="D175" s="5" t="s">
        <v>228</v>
      </c>
      <c r="E175" s="4" t="str">
        <f>"0097165527513"</f>
        <v>0097165527513</v>
      </c>
      <c r="F175" s="2" t="s">
        <v>12</v>
      </c>
      <c r="G175" s="2" t="s">
        <v>13</v>
      </c>
      <c r="H175" t="s">
        <v>14</v>
      </c>
      <c r="I175" s="1">
        <v>46086</v>
      </c>
      <c r="J175" t="s">
        <v>318</v>
      </c>
    </row>
    <row r="176" spans="1:10" x14ac:dyDescent="0.25">
      <c r="A176" s="3">
        <v>46086</v>
      </c>
      <c r="B176" s="5" t="s">
        <v>319</v>
      </c>
      <c r="C176" s="5" t="s">
        <v>319</v>
      </c>
      <c r="D176" s="5" t="s">
        <v>228</v>
      </c>
      <c r="E176" s="4" t="str">
        <f>"0097167441466"</f>
        <v>0097167441466</v>
      </c>
      <c r="F176" s="2" t="s">
        <v>12</v>
      </c>
      <c r="G176" s="2" t="s">
        <v>13</v>
      </c>
      <c r="H176" t="s">
        <v>14</v>
      </c>
      <c r="I176" s="1">
        <v>46086</v>
      </c>
      <c r="J176" t="s">
        <v>320</v>
      </c>
    </row>
    <row r="177" spans="1:10" x14ac:dyDescent="0.25">
      <c r="A177" s="3">
        <v>46086</v>
      </c>
      <c r="B177" s="5" t="s">
        <v>321</v>
      </c>
      <c r="C177" s="5" t="s">
        <v>321</v>
      </c>
      <c r="D177" s="5" t="s">
        <v>228</v>
      </c>
      <c r="E177" s="4" t="str">
        <f>"0097167422404"</f>
        <v>0097167422404</v>
      </c>
      <c r="F177" s="2" t="s">
        <v>12</v>
      </c>
      <c r="G177" s="2" t="s">
        <v>13</v>
      </c>
      <c r="H177" t="s">
        <v>14</v>
      </c>
      <c r="I177" s="1">
        <v>46086</v>
      </c>
      <c r="J177" t="s">
        <v>322</v>
      </c>
    </row>
    <row r="178" spans="1:10" x14ac:dyDescent="0.25">
      <c r="A178" s="3">
        <v>46086</v>
      </c>
      <c r="B178" s="5" t="s">
        <v>323</v>
      </c>
      <c r="C178" s="5" t="s">
        <v>323</v>
      </c>
      <c r="D178" s="5" t="s">
        <v>228</v>
      </c>
      <c r="E178" s="4" t="str">
        <f>"0097167444109"</f>
        <v>0097167444109</v>
      </c>
      <c r="F178" s="2" t="s">
        <v>12</v>
      </c>
      <c r="G178" s="2" t="s">
        <v>13</v>
      </c>
      <c r="H178" t="s">
        <v>14</v>
      </c>
      <c r="I178" s="1">
        <v>46086</v>
      </c>
      <c r="J178" t="s">
        <v>324</v>
      </c>
    </row>
    <row r="179" spans="1:10" x14ac:dyDescent="0.25">
      <c r="A179" s="3">
        <v>46086</v>
      </c>
      <c r="B179" s="5" t="s">
        <v>325</v>
      </c>
      <c r="C179" s="5" t="s">
        <v>325</v>
      </c>
      <c r="D179" s="5" t="s">
        <v>228</v>
      </c>
      <c r="E179" s="4" t="str">
        <f>"0097167480078"</f>
        <v>0097167480078</v>
      </c>
      <c r="F179" s="2" t="s">
        <v>12</v>
      </c>
      <c r="G179" s="2" t="s">
        <v>13</v>
      </c>
      <c r="H179" t="s">
        <v>14</v>
      </c>
      <c r="I179" s="1">
        <v>46086</v>
      </c>
      <c r="J179" t="s">
        <v>326</v>
      </c>
    </row>
    <row r="180" spans="1:10" x14ac:dyDescent="0.25">
      <c r="A180" s="3">
        <v>46086</v>
      </c>
      <c r="B180" s="5" t="s">
        <v>327</v>
      </c>
      <c r="C180" s="5" t="s">
        <v>327</v>
      </c>
      <c r="D180" s="5" t="s">
        <v>328</v>
      </c>
      <c r="E180" s="4" t="str">
        <f>"0097137666610"</f>
        <v>0097137666610</v>
      </c>
      <c r="F180" s="2" t="s">
        <v>12</v>
      </c>
      <c r="G180" s="2" t="s">
        <v>13</v>
      </c>
      <c r="H180" t="s">
        <v>14</v>
      </c>
      <c r="I180" s="1">
        <v>46086</v>
      </c>
      <c r="J180" t="s">
        <v>329</v>
      </c>
    </row>
    <row r="181" spans="1:10" x14ac:dyDescent="0.25">
      <c r="A181" s="3">
        <v>46086</v>
      </c>
      <c r="B181" s="5" t="s">
        <v>330</v>
      </c>
      <c r="C181" s="5" t="s">
        <v>330</v>
      </c>
      <c r="D181" s="5" t="s">
        <v>328</v>
      </c>
      <c r="E181" s="4" t="str">
        <f>"0097137211488"</f>
        <v>0097137211488</v>
      </c>
      <c r="F181" s="2" t="s">
        <v>12</v>
      </c>
      <c r="G181" s="2" t="s">
        <v>13</v>
      </c>
      <c r="H181" t="s">
        <v>14</v>
      </c>
      <c r="I181" s="1">
        <v>46086</v>
      </c>
      <c r="J181" t="s">
        <v>331</v>
      </c>
    </row>
    <row r="182" spans="1:10" x14ac:dyDescent="0.25">
      <c r="A182" s="3">
        <v>46086</v>
      </c>
      <c r="B182" s="5" t="s">
        <v>332</v>
      </c>
      <c r="C182" s="5" t="s">
        <v>332</v>
      </c>
      <c r="D182" s="5" t="s">
        <v>328</v>
      </c>
      <c r="E182" s="4" t="str">
        <f>"0097137213774"</f>
        <v>0097137213774</v>
      </c>
      <c r="F182" s="2" t="s">
        <v>12</v>
      </c>
      <c r="G182" s="2" t="s">
        <v>13</v>
      </c>
      <c r="H182" t="s">
        <v>14</v>
      </c>
      <c r="I182" s="1">
        <v>46086</v>
      </c>
      <c r="J182" t="s">
        <v>333</v>
      </c>
    </row>
    <row r="183" spans="1:10" x14ac:dyDescent="0.25">
      <c r="A183" s="3">
        <v>46086</v>
      </c>
      <c r="B183" s="5" t="s">
        <v>122</v>
      </c>
      <c r="C183" s="5" t="s">
        <v>122</v>
      </c>
      <c r="D183" s="5" t="s">
        <v>328</v>
      </c>
      <c r="E183" s="4" t="str">
        <f>"0097137641290"</f>
        <v>0097137641290</v>
      </c>
      <c r="F183" s="2" t="s">
        <v>12</v>
      </c>
      <c r="G183" s="2" t="s">
        <v>13</v>
      </c>
      <c r="H183" t="s">
        <v>14</v>
      </c>
      <c r="I183" s="1">
        <v>46086</v>
      </c>
      <c r="J183" t="s">
        <v>334</v>
      </c>
    </row>
    <row r="184" spans="1:10" x14ac:dyDescent="0.25">
      <c r="A184" s="3">
        <v>46086</v>
      </c>
      <c r="B184" s="5" t="s">
        <v>335</v>
      </c>
      <c r="C184" s="5" t="s">
        <v>335</v>
      </c>
      <c r="D184" s="5" t="s">
        <v>328</v>
      </c>
      <c r="E184" s="4" t="str">
        <f>"0097137825916"</f>
        <v>0097137825916</v>
      </c>
      <c r="F184" s="2" t="s">
        <v>12</v>
      </c>
      <c r="G184" s="2" t="s">
        <v>13</v>
      </c>
      <c r="H184" t="s">
        <v>14</v>
      </c>
      <c r="I184" s="1">
        <v>46086</v>
      </c>
      <c r="J184" t="s">
        <v>336</v>
      </c>
    </row>
    <row r="185" spans="1:10" x14ac:dyDescent="0.25">
      <c r="A185" s="3">
        <v>46086</v>
      </c>
      <c r="B185" s="5" t="s">
        <v>337</v>
      </c>
      <c r="C185" s="5" t="s">
        <v>337</v>
      </c>
      <c r="D185" s="5" t="s">
        <v>328</v>
      </c>
      <c r="E185" s="4" t="str">
        <f>"0097137213877"</f>
        <v>0097137213877</v>
      </c>
      <c r="F185" s="2" t="s">
        <v>12</v>
      </c>
      <c r="G185" s="2" t="s">
        <v>13</v>
      </c>
      <c r="H185" t="s">
        <v>14</v>
      </c>
      <c r="I185" s="1">
        <v>46086</v>
      </c>
      <c r="J185" t="s">
        <v>338</v>
      </c>
    </row>
    <row r="186" spans="1:10" x14ac:dyDescent="0.25">
      <c r="A186" s="3">
        <v>46086</v>
      </c>
      <c r="B186" s="5" t="s">
        <v>339</v>
      </c>
      <c r="C186" s="5" t="s">
        <v>339</v>
      </c>
      <c r="D186" s="5" t="s">
        <v>328</v>
      </c>
      <c r="E186" s="4" t="str">
        <f>"0097137211335"</f>
        <v>0097137211335</v>
      </c>
      <c r="F186" s="2" t="s">
        <v>12</v>
      </c>
      <c r="G186" s="2" t="s">
        <v>13</v>
      </c>
      <c r="H186" t="s">
        <v>14</v>
      </c>
      <c r="I186" s="1">
        <v>46086</v>
      </c>
      <c r="J186" t="s">
        <v>340</v>
      </c>
    </row>
    <row r="187" spans="1:10" x14ac:dyDescent="0.25">
      <c r="A187" s="3">
        <v>46086</v>
      </c>
      <c r="B187" s="5" t="s">
        <v>339</v>
      </c>
      <c r="C187" s="5" t="s">
        <v>339</v>
      </c>
      <c r="D187" s="5" t="s">
        <v>328</v>
      </c>
      <c r="E187" s="4" t="str">
        <f>"0097137211601"</f>
        <v>0097137211601</v>
      </c>
      <c r="F187" s="2" t="s">
        <v>12</v>
      </c>
      <c r="G187" s="2" t="s">
        <v>13</v>
      </c>
      <c r="H187" t="s">
        <v>14</v>
      </c>
      <c r="I187" s="1">
        <v>46086</v>
      </c>
      <c r="J187" t="s">
        <v>341</v>
      </c>
    </row>
    <row r="188" spans="1:10" x14ac:dyDescent="0.25">
      <c r="A188" s="3">
        <v>46086</v>
      </c>
      <c r="B188" s="5" t="s">
        <v>339</v>
      </c>
      <c r="C188" s="5" t="s">
        <v>339</v>
      </c>
      <c r="D188" s="5" t="s">
        <v>328</v>
      </c>
      <c r="E188" s="4" t="str">
        <f>"0097137645252"</f>
        <v>0097137645252</v>
      </c>
      <c r="F188" s="2" t="s">
        <v>12</v>
      </c>
      <c r="G188" s="2" t="s">
        <v>13</v>
      </c>
      <c r="H188" t="s">
        <v>14</v>
      </c>
      <c r="I188" s="1">
        <v>46086</v>
      </c>
      <c r="J188" t="s">
        <v>342</v>
      </c>
    </row>
    <row r="189" spans="1:10" x14ac:dyDescent="0.25">
      <c r="A189" s="3">
        <v>46086</v>
      </c>
      <c r="B189" s="5" t="s">
        <v>343</v>
      </c>
      <c r="C189" s="5" t="s">
        <v>343</v>
      </c>
      <c r="D189" s="5" t="s">
        <v>328</v>
      </c>
      <c r="E189" s="4" t="str">
        <f>"0097137678672"</f>
        <v>0097137678672</v>
      </c>
      <c r="F189" s="2" t="s">
        <v>12</v>
      </c>
      <c r="G189" s="2" t="s">
        <v>13</v>
      </c>
      <c r="H189" t="s">
        <v>14</v>
      </c>
      <c r="I189" s="1">
        <v>46086</v>
      </c>
      <c r="J189" t="s">
        <v>344</v>
      </c>
    </row>
    <row r="190" spans="1:10" x14ac:dyDescent="0.25">
      <c r="A190" s="3">
        <v>46086</v>
      </c>
      <c r="B190" s="5" t="s">
        <v>345</v>
      </c>
      <c r="C190" s="5" t="s">
        <v>345</v>
      </c>
      <c r="D190" s="5" t="s">
        <v>328</v>
      </c>
      <c r="E190" s="4" t="str">
        <f>"0097137512882"</f>
        <v>0097137512882</v>
      </c>
      <c r="F190" s="2" t="s">
        <v>12</v>
      </c>
      <c r="G190" s="2" t="s">
        <v>13</v>
      </c>
      <c r="H190" t="s">
        <v>14</v>
      </c>
      <c r="I190" s="1">
        <v>46086</v>
      </c>
      <c r="J190" t="s">
        <v>346</v>
      </c>
    </row>
    <row r="191" spans="1:10" x14ac:dyDescent="0.25">
      <c r="A191" s="3">
        <v>46086</v>
      </c>
      <c r="B191" s="5" t="s">
        <v>347</v>
      </c>
      <c r="C191" s="5" t="s">
        <v>347</v>
      </c>
      <c r="D191" s="5" t="s">
        <v>328</v>
      </c>
      <c r="E191" s="4" t="str">
        <f>"0097137214731"</f>
        <v>0097137214731</v>
      </c>
      <c r="F191" s="2" t="s">
        <v>12</v>
      </c>
      <c r="G191" s="2" t="s">
        <v>13</v>
      </c>
      <c r="H191" t="s">
        <v>14</v>
      </c>
      <c r="I191" s="1">
        <v>46086</v>
      </c>
      <c r="J191" t="s">
        <v>348</v>
      </c>
    </row>
    <row r="192" spans="1:10" x14ac:dyDescent="0.25">
      <c r="A192" s="3">
        <v>46086</v>
      </c>
      <c r="B192" s="5" t="s">
        <v>349</v>
      </c>
      <c r="C192" s="5" t="s">
        <v>349</v>
      </c>
      <c r="D192" s="5" t="s">
        <v>328</v>
      </c>
      <c r="E192" s="4" t="str">
        <f>"0097137669366"</f>
        <v>0097137669366</v>
      </c>
      <c r="F192" s="2" t="s">
        <v>12</v>
      </c>
      <c r="G192" s="2" t="s">
        <v>13</v>
      </c>
      <c r="H192" t="s">
        <v>14</v>
      </c>
      <c r="I192" s="1">
        <v>46086</v>
      </c>
      <c r="J192" t="s">
        <v>350</v>
      </c>
    </row>
    <row r="193" spans="1:10" x14ac:dyDescent="0.25">
      <c r="A193" s="3">
        <v>46086</v>
      </c>
      <c r="B193" s="5" t="s">
        <v>351</v>
      </c>
      <c r="C193" s="5" t="s">
        <v>351</v>
      </c>
      <c r="D193" s="5" t="s">
        <v>352</v>
      </c>
      <c r="E193" s="4" t="str">
        <f>"0097192443982"</f>
        <v>0097192443982</v>
      </c>
      <c r="F193" s="2" t="s">
        <v>12</v>
      </c>
      <c r="G193" s="2" t="s">
        <v>13</v>
      </c>
      <c r="H193" t="s">
        <v>14</v>
      </c>
      <c r="I193" s="1">
        <v>46086</v>
      </c>
      <c r="J193" t="s">
        <v>353</v>
      </c>
    </row>
    <row r="194" spans="1:10" x14ac:dyDescent="0.25">
      <c r="A194" s="3">
        <v>46086</v>
      </c>
      <c r="B194" s="5" t="s">
        <v>354</v>
      </c>
      <c r="C194" s="5" t="s">
        <v>354</v>
      </c>
      <c r="D194" s="5" t="s">
        <v>355</v>
      </c>
      <c r="E194" s="4" t="str">
        <f>"0097142975755"</f>
        <v>0097142975755</v>
      </c>
      <c r="F194" s="2" t="s">
        <v>12</v>
      </c>
      <c r="G194" s="2" t="s">
        <v>13</v>
      </c>
      <c r="H194" t="s">
        <v>14</v>
      </c>
      <c r="I194" s="1">
        <v>46086</v>
      </c>
      <c r="J194" t="s">
        <v>356</v>
      </c>
    </row>
    <row r="195" spans="1:10" x14ac:dyDescent="0.25">
      <c r="A195" s="3">
        <v>46086</v>
      </c>
      <c r="B195" s="5" t="s">
        <v>354</v>
      </c>
      <c r="C195" s="5" t="s">
        <v>354</v>
      </c>
      <c r="D195" s="5" t="s">
        <v>355</v>
      </c>
      <c r="E195" s="4" t="str">
        <f>"00971559468303"</f>
        <v>00971559468303</v>
      </c>
      <c r="F195" s="2" t="s">
        <v>12</v>
      </c>
      <c r="G195" s="2" t="s">
        <v>13</v>
      </c>
      <c r="H195" t="s">
        <v>14</v>
      </c>
      <c r="I195" s="1">
        <v>46086</v>
      </c>
      <c r="J195" t="s">
        <v>357</v>
      </c>
    </row>
    <row r="196" spans="1:10" x14ac:dyDescent="0.25">
      <c r="A196" s="3">
        <v>46086</v>
      </c>
      <c r="B196" s="5" t="s">
        <v>358</v>
      </c>
      <c r="C196" s="5" t="s">
        <v>358</v>
      </c>
      <c r="D196" s="5" t="s">
        <v>355</v>
      </c>
      <c r="E196" s="4" t="str">
        <f>"0097144385333"</f>
        <v>0097144385333</v>
      </c>
      <c r="F196" s="2" t="s">
        <v>12</v>
      </c>
      <c r="G196" s="2" t="s">
        <v>13</v>
      </c>
      <c r="H196" t="s">
        <v>14</v>
      </c>
      <c r="I196" s="1">
        <v>46086</v>
      </c>
      <c r="J196" t="s">
        <v>359</v>
      </c>
    </row>
    <row r="197" spans="1:10" x14ac:dyDescent="0.25">
      <c r="A197" s="3">
        <v>46086</v>
      </c>
      <c r="B197" s="5" t="s">
        <v>360</v>
      </c>
      <c r="C197" s="5" t="s">
        <v>360</v>
      </c>
      <c r="D197" s="5" t="s">
        <v>355</v>
      </c>
      <c r="E197" s="4" t="str">
        <f>"0097143411287"</f>
        <v>0097143411287</v>
      </c>
      <c r="F197" s="2" t="s">
        <v>12</v>
      </c>
      <c r="G197" s="2" t="s">
        <v>13</v>
      </c>
      <c r="H197" t="s">
        <v>14</v>
      </c>
      <c r="I197" s="1">
        <v>46086</v>
      </c>
      <c r="J197" t="s">
        <v>361</v>
      </c>
    </row>
    <row r="198" spans="1:10" x14ac:dyDescent="0.25">
      <c r="A198" s="3">
        <v>46086</v>
      </c>
      <c r="B198" s="5" t="s">
        <v>362</v>
      </c>
      <c r="C198" s="5" t="s">
        <v>362</v>
      </c>
      <c r="D198" s="5" t="s">
        <v>355</v>
      </c>
      <c r="E198" s="4" t="str">
        <f>"0097143671025"</f>
        <v>0097143671025</v>
      </c>
      <c r="F198" s="2" t="s">
        <v>12</v>
      </c>
      <c r="G198" s="2" t="s">
        <v>13</v>
      </c>
      <c r="H198" t="s">
        <v>14</v>
      </c>
      <c r="I198" s="1">
        <v>46086</v>
      </c>
      <c r="J198" t="s">
        <v>363</v>
      </c>
    </row>
    <row r="199" spans="1:10" x14ac:dyDescent="0.25">
      <c r="A199" s="3">
        <v>46086</v>
      </c>
      <c r="B199" s="5" t="s">
        <v>364</v>
      </c>
      <c r="C199" s="5" t="s">
        <v>364</v>
      </c>
      <c r="D199" s="5" t="s">
        <v>355</v>
      </c>
      <c r="E199" s="4" t="str">
        <f>"0097143962292"</f>
        <v>0097143962292</v>
      </c>
      <c r="F199" s="2" t="s">
        <v>12</v>
      </c>
      <c r="G199" s="2" t="s">
        <v>13</v>
      </c>
      <c r="H199" t="s">
        <v>14</v>
      </c>
      <c r="I199" s="1">
        <v>46086</v>
      </c>
      <c r="J199" t="s">
        <v>365</v>
      </c>
    </row>
    <row r="200" spans="1:10" x14ac:dyDescent="0.25">
      <c r="A200" s="3">
        <v>46086</v>
      </c>
      <c r="B200" s="5" t="s">
        <v>366</v>
      </c>
      <c r="C200" s="5" t="s">
        <v>366</v>
      </c>
      <c r="D200" s="5" t="s">
        <v>355</v>
      </c>
      <c r="E200" s="4" t="str">
        <f>"0097143234536"</f>
        <v>0097143234536</v>
      </c>
      <c r="F200" s="2" t="s">
        <v>12</v>
      </c>
      <c r="G200" s="2" t="s">
        <v>13</v>
      </c>
      <c r="H200" t="s">
        <v>14</v>
      </c>
      <c r="I200" s="1">
        <v>46086</v>
      </c>
      <c r="J200" t="s">
        <v>367</v>
      </c>
    </row>
    <row r="201" spans="1:10" x14ac:dyDescent="0.25">
      <c r="A201" s="3">
        <v>46086</v>
      </c>
      <c r="B201" s="5" t="s">
        <v>368</v>
      </c>
      <c r="C201" s="5" t="s">
        <v>368</v>
      </c>
      <c r="D201" s="5" t="s">
        <v>355</v>
      </c>
      <c r="E201" s="4" t="str">
        <f>"0097144401010"</f>
        <v>0097144401010</v>
      </c>
      <c r="F201" s="2" t="s">
        <v>12</v>
      </c>
      <c r="G201" s="2" t="s">
        <v>13</v>
      </c>
      <c r="H201" t="s">
        <v>14</v>
      </c>
      <c r="I201" s="1">
        <v>46086</v>
      </c>
      <c r="J201" t="s">
        <v>369</v>
      </c>
    </row>
    <row r="202" spans="1:10" x14ac:dyDescent="0.25">
      <c r="A202" s="3">
        <v>46086</v>
      </c>
      <c r="B202" s="5" t="s">
        <v>370</v>
      </c>
      <c r="C202" s="5" t="s">
        <v>370</v>
      </c>
      <c r="D202" s="5" t="s">
        <v>355</v>
      </c>
      <c r="E202" s="4" t="str">
        <f>"0097144249950"</f>
        <v>0097144249950</v>
      </c>
      <c r="F202" s="2" t="s">
        <v>12</v>
      </c>
      <c r="G202" s="2" t="s">
        <v>13</v>
      </c>
      <c r="H202" t="s">
        <v>14</v>
      </c>
      <c r="I202" s="1">
        <v>46086</v>
      </c>
      <c r="J202" t="s">
        <v>371</v>
      </c>
    </row>
    <row r="203" spans="1:10" x14ac:dyDescent="0.25">
      <c r="A203" s="3">
        <v>46086</v>
      </c>
      <c r="B203" s="5" t="s">
        <v>370</v>
      </c>
      <c r="C203" s="5" t="s">
        <v>370</v>
      </c>
      <c r="D203" s="5" t="s">
        <v>355</v>
      </c>
      <c r="E203" s="4" t="str">
        <f>"0097144524449"</f>
        <v>0097144524449</v>
      </c>
      <c r="F203" s="2" t="s">
        <v>12</v>
      </c>
      <c r="G203" s="2" t="s">
        <v>13</v>
      </c>
      <c r="H203" t="s">
        <v>14</v>
      </c>
      <c r="I203" s="1">
        <v>46086</v>
      </c>
      <c r="J203" t="s">
        <v>372</v>
      </c>
    </row>
    <row r="204" spans="1:10" x14ac:dyDescent="0.25">
      <c r="A204" s="3">
        <v>46086</v>
      </c>
      <c r="B204" s="5" t="s">
        <v>370</v>
      </c>
      <c r="C204" s="5" t="s">
        <v>370</v>
      </c>
      <c r="D204" s="5" t="s">
        <v>355</v>
      </c>
      <c r="E204" s="4" t="str">
        <f>"00971544687636"</f>
        <v>00971544687636</v>
      </c>
      <c r="F204" s="2" t="s">
        <v>12</v>
      </c>
      <c r="G204" s="2" t="s">
        <v>13</v>
      </c>
      <c r="H204" t="s">
        <v>14</v>
      </c>
      <c r="I204" s="1">
        <v>46086</v>
      </c>
      <c r="J204" t="s">
        <v>373</v>
      </c>
    </row>
    <row r="205" spans="1:10" x14ac:dyDescent="0.25">
      <c r="A205" s="3">
        <v>46086</v>
      </c>
      <c r="B205" s="5" t="s">
        <v>370</v>
      </c>
      <c r="C205" s="5" t="s">
        <v>370</v>
      </c>
      <c r="D205" s="5" t="s">
        <v>355</v>
      </c>
      <c r="E205" s="4" t="str">
        <f>"00971544687637"</f>
        <v>00971544687637</v>
      </c>
      <c r="F205" s="2" t="s">
        <v>12</v>
      </c>
      <c r="G205" s="2" t="s">
        <v>13</v>
      </c>
      <c r="H205" t="s">
        <v>14</v>
      </c>
      <c r="I205" s="1">
        <v>46086</v>
      </c>
      <c r="J205" t="s">
        <v>374</v>
      </c>
    </row>
    <row r="206" spans="1:10" x14ac:dyDescent="0.25">
      <c r="A206" s="3">
        <v>46086</v>
      </c>
      <c r="B206" s="5" t="s">
        <v>375</v>
      </c>
      <c r="C206" s="5" t="s">
        <v>375</v>
      </c>
      <c r="D206" s="5" t="s">
        <v>355</v>
      </c>
      <c r="E206" s="4" t="str">
        <f>"00971585833769"</f>
        <v>00971585833769</v>
      </c>
      <c r="F206" s="2" t="s">
        <v>12</v>
      </c>
      <c r="G206" s="2" t="s">
        <v>13</v>
      </c>
      <c r="H206" t="s">
        <v>14</v>
      </c>
      <c r="I206" s="1">
        <v>46086</v>
      </c>
      <c r="J206" t="s">
        <v>376</v>
      </c>
    </row>
    <row r="207" spans="1:10" x14ac:dyDescent="0.25">
      <c r="A207" s="3">
        <v>46086</v>
      </c>
      <c r="B207" s="5" t="s">
        <v>377</v>
      </c>
      <c r="C207" s="5" t="s">
        <v>377</v>
      </c>
      <c r="D207" s="5" t="s">
        <v>355</v>
      </c>
      <c r="E207" s="4" t="str">
        <f>"0097143332254"</f>
        <v>0097143332254</v>
      </c>
      <c r="F207" s="2" t="s">
        <v>12</v>
      </c>
      <c r="G207" s="2" t="s">
        <v>13</v>
      </c>
      <c r="H207" t="s">
        <v>14</v>
      </c>
      <c r="I207" s="1">
        <v>46086</v>
      </c>
      <c r="J207" t="s">
        <v>378</v>
      </c>
    </row>
    <row r="208" spans="1:10" x14ac:dyDescent="0.25">
      <c r="A208" s="3">
        <v>46086</v>
      </c>
      <c r="B208" s="5" t="s">
        <v>377</v>
      </c>
      <c r="C208" s="5" t="s">
        <v>377</v>
      </c>
      <c r="D208" s="5" t="s">
        <v>355</v>
      </c>
      <c r="E208" s="4" t="str">
        <f>"00971542520849"</f>
        <v>00971542520849</v>
      </c>
      <c r="F208" s="2" t="s">
        <v>12</v>
      </c>
      <c r="G208" s="2" t="s">
        <v>13</v>
      </c>
      <c r="H208" t="s">
        <v>14</v>
      </c>
      <c r="I208" s="1">
        <v>46086</v>
      </c>
      <c r="J208" t="s">
        <v>379</v>
      </c>
    </row>
    <row r="209" spans="1:10" x14ac:dyDescent="0.25">
      <c r="A209" s="3">
        <v>46086</v>
      </c>
      <c r="B209" s="5" t="s">
        <v>380</v>
      </c>
      <c r="C209" s="5" t="s">
        <v>380</v>
      </c>
      <c r="D209" s="5" t="s">
        <v>355</v>
      </c>
      <c r="E209" s="4" t="str">
        <f>"0097143204111"</f>
        <v>0097143204111</v>
      </c>
      <c r="F209" s="2" t="s">
        <v>12</v>
      </c>
      <c r="G209" s="2" t="s">
        <v>13</v>
      </c>
      <c r="H209" t="s">
        <v>14</v>
      </c>
      <c r="I209" s="1">
        <v>46086</v>
      </c>
      <c r="J209" t="s">
        <v>381</v>
      </c>
    </row>
    <row r="210" spans="1:10" x14ac:dyDescent="0.25">
      <c r="A210" s="3">
        <v>46086</v>
      </c>
      <c r="B210" s="5" t="s">
        <v>382</v>
      </c>
      <c r="C210" s="5" t="s">
        <v>382</v>
      </c>
      <c r="D210" s="5" t="s">
        <v>355</v>
      </c>
      <c r="E210" s="4" t="str">
        <f>"0097142396717"</f>
        <v>0097142396717</v>
      </c>
      <c r="F210" s="2" t="s">
        <v>12</v>
      </c>
      <c r="G210" s="2" t="s">
        <v>13</v>
      </c>
      <c r="H210" t="s">
        <v>14</v>
      </c>
      <c r="I210" s="1">
        <v>46086</v>
      </c>
      <c r="J210" t="s">
        <v>383</v>
      </c>
    </row>
    <row r="211" spans="1:10" x14ac:dyDescent="0.25">
      <c r="A211" s="3">
        <v>46086</v>
      </c>
      <c r="B211" s="5" t="s">
        <v>384</v>
      </c>
      <c r="C211" s="5" t="s">
        <v>384</v>
      </c>
      <c r="D211" s="5" t="s">
        <v>355</v>
      </c>
      <c r="E211" s="4" t="str">
        <f>"0097143806833"</f>
        <v>0097143806833</v>
      </c>
      <c r="F211" s="2" t="s">
        <v>12</v>
      </c>
      <c r="G211" s="2" t="s">
        <v>13</v>
      </c>
      <c r="H211" t="s">
        <v>14</v>
      </c>
      <c r="I211" s="1">
        <v>46086</v>
      </c>
      <c r="J211" t="s">
        <v>385</v>
      </c>
    </row>
    <row r="212" spans="1:10" x14ac:dyDescent="0.25">
      <c r="A212" s="3">
        <v>46086</v>
      </c>
      <c r="B212" s="5" t="s">
        <v>386</v>
      </c>
      <c r="C212" s="5" t="s">
        <v>386</v>
      </c>
      <c r="D212" s="5" t="s">
        <v>355</v>
      </c>
      <c r="E212" s="4" t="str">
        <f>"0097142736446"</f>
        <v>0097142736446</v>
      </c>
      <c r="F212" s="2" t="s">
        <v>12</v>
      </c>
      <c r="G212" s="2" t="s">
        <v>13</v>
      </c>
      <c r="H212" t="s">
        <v>14</v>
      </c>
      <c r="I212" s="1">
        <v>46086</v>
      </c>
      <c r="J212" t="s">
        <v>387</v>
      </c>
    </row>
    <row r="213" spans="1:10" x14ac:dyDescent="0.25">
      <c r="A213" s="3">
        <v>46086</v>
      </c>
      <c r="B213" s="5">
        <v>1762</v>
      </c>
      <c r="C213" s="5">
        <v>1762</v>
      </c>
      <c r="D213" s="5" t="s">
        <v>355</v>
      </c>
      <c r="E213" s="4" t="str">
        <f>"009718001762"</f>
        <v>009718001762</v>
      </c>
      <c r="F213" s="2" t="s">
        <v>12</v>
      </c>
      <c r="G213" s="2" t="s">
        <v>13</v>
      </c>
      <c r="H213" t="s">
        <v>14</v>
      </c>
      <c r="I213" s="1">
        <v>46086</v>
      </c>
      <c r="J213" t="s">
        <v>388</v>
      </c>
    </row>
    <row r="214" spans="1:10" x14ac:dyDescent="0.25">
      <c r="A214" s="3">
        <v>46086</v>
      </c>
      <c r="B214" s="5" t="s">
        <v>389</v>
      </c>
      <c r="C214" s="5" t="s">
        <v>389</v>
      </c>
      <c r="D214" s="5" t="s">
        <v>355</v>
      </c>
      <c r="E214" s="4" t="str">
        <f>"0097145140422"</f>
        <v>0097145140422</v>
      </c>
      <c r="F214" s="2" t="s">
        <v>12</v>
      </c>
      <c r="G214" s="2" t="s">
        <v>13</v>
      </c>
      <c r="H214" t="s">
        <v>14</v>
      </c>
      <c r="I214" s="1">
        <v>46086</v>
      </c>
      <c r="J214" t="s">
        <v>390</v>
      </c>
    </row>
    <row r="215" spans="1:10" x14ac:dyDescent="0.25">
      <c r="A215" s="3">
        <v>46086</v>
      </c>
      <c r="B215" s="5" t="s">
        <v>389</v>
      </c>
      <c r="C215" s="5" t="s">
        <v>389</v>
      </c>
      <c r="D215" s="5" t="s">
        <v>355</v>
      </c>
      <c r="E215" s="4" t="str">
        <f>"00971551795638"</f>
        <v>00971551795638</v>
      </c>
      <c r="F215" s="2" t="s">
        <v>12</v>
      </c>
      <c r="G215" s="2" t="s">
        <v>13</v>
      </c>
      <c r="H215" t="s">
        <v>14</v>
      </c>
      <c r="I215" s="1">
        <v>46086</v>
      </c>
      <c r="J215" t="s">
        <v>391</v>
      </c>
    </row>
    <row r="216" spans="1:10" x14ac:dyDescent="0.25">
      <c r="A216" s="3">
        <v>46086</v>
      </c>
      <c r="B216" s="5" t="s">
        <v>392</v>
      </c>
      <c r="C216" s="5" t="s">
        <v>392</v>
      </c>
      <c r="D216" s="5" t="s">
        <v>355</v>
      </c>
      <c r="E216" s="4" t="str">
        <f>"0097142999115"</f>
        <v>0097142999115</v>
      </c>
      <c r="F216" s="2" t="s">
        <v>12</v>
      </c>
      <c r="G216" s="2" t="s">
        <v>13</v>
      </c>
      <c r="H216" t="s">
        <v>14</v>
      </c>
      <c r="I216" s="1">
        <v>46086</v>
      </c>
      <c r="J216" t="s">
        <v>393</v>
      </c>
    </row>
    <row r="217" spans="1:10" x14ac:dyDescent="0.25">
      <c r="A217" s="3">
        <v>46086</v>
      </c>
      <c r="B217" s="5" t="s">
        <v>394</v>
      </c>
      <c r="C217" s="5" t="s">
        <v>394</v>
      </c>
      <c r="D217" s="5" t="s">
        <v>355</v>
      </c>
      <c r="E217" s="4" t="str">
        <f>"0097143988660"</f>
        <v>0097143988660</v>
      </c>
      <c r="F217" s="2" t="s">
        <v>12</v>
      </c>
      <c r="G217" s="2" t="s">
        <v>13</v>
      </c>
      <c r="H217" t="s">
        <v>14</v>
      </c>
      <c r="I217" s="1">
        <v>46086</v>
      </c>
      <c r="J217" t="s">
        <v>395</v>
      </c>
    </row>
    <row r="218" spans="1:10" x14ac:dyDescent="0.25">
      <c r="A218" s="3">
        <v>46086</v>
      </c>
      <c r="B218" s="5" t="s">
        <v>394</v>
      </c>
      <c r="C218" s="5" t="s">
        <v>394</v>
      </c>
      <c r="D218" s="5" t="s">
        <v>355</v>
      </c>
      <c r="E218" s="4" t="str">
        <f>"00971501180864"</f>
        <v>00971501180864</v>
      </c>
      <c r="F218" s="2" t="s">
        <v>12</v>
      </c>
      <c r="G218" s="2" t="s">
        <v>13</v>
      </c>
      <c r="H218" t="s">
        <v>14</v>
      </c>
      <c r="I218" s="1">
        <v>46086</v>
      </c>
      <c r="J218" t="s">
        <v>396</v>
      </c>
    </row>
    <row r="219" spans="1:10" x14ac:dyDescent="0.25">
      <c r="A219" s="3">
        <v>46086</v>
      </c>
      <c r="B219" s="5" t="s">
        <v>397</v>
      </c>
      <c r="C219" s="5" t="s">
        <v>397</v>
      </c>
      <c r="D219" s="5" t="s">
        <v>355</v>
      </c>
      <c r="E219" s="4" t="str">
        <f>"00971555271595"</f>
        <v>00971555271595</v>
      </c>
      <c r="F219" s="2" t="s">
        <v>12</v>
      </c>
      <c r="G219" s="2" t="s">
        <v>13</v>
      </c>
      <c r="H219" t="s">
        <v>14</v>
      </c>
      <c r="I219" s="1">
        <v>46086</v>
      </c>
      <c r="J219" t="s">
        <v>398</v>
      </c>
    </row>
    <row r="220" spans="1:10" x14ac:dyDescent="0.25">
      <c r="A220" s="3">
        <v>46086</v>
      </c>
      <c r="B220" s="5" t="s">
        <v>399</v>
      </c>
      <c r="C220" s="5" t="s">
        <v>399</v>
      </c>
      <c r="D220" s="5" t="s">
        <v>355</v>
      </c>
      <c r="E220" s="4" t="str">
        <f>"0097142291650"</f>
        <v>0097142291650</v>
      </c>
      <c r="F220" s="2" t="s">
        <v>12</v>
      </c>
      <c r="G220" s="2" t="s">
        <v>13</v>
      </c>
      <c r="H220" t="s">
        <v>14</v>
      </c>
      <c r="I220" s="1">
        <v>46086</v>
      </c>
      <c r="J220" t="s">
        <v>400</v>
      </c>
    </row>
    <row r="221" spans="1:10" x14ac:dyDescent="0.25">
      <c r="A221" s="3">
        <v>46086</v>
      </c>
      <c r="B221" s="5" t="s">
        <v>401</v>
      </c>
      <c r="C221" s="5" t="s">
        <v>401</v>
      </c>
      <c r="D221" s="5" t="s">
        <v>355</v>
      </c>
      <c r="E221" s="4" t="str">
        <f>"00971585882003"</f>
        <v>00971585882003</v>
      </c>
      <c r="F221" s="2" t="s">
        <v>12</v>
      </c>
      <c r="G221" s="2" t="s">
        <v>13</v>
      </c>
      <c r="H221" t="s">
        <v>14</v>
      </c>
      <c r="I221" s="1">
        <v>46086</v>
      </c>
      <c r="J221" t="s">
        <v>402</v>
      </c>
    </row>
    <row r="222" spans="1:10" x14ac:dyDescent="0.25">
      <c r="A222" s="3">
        <v>46086</v>
      </c>
      <c r="B222" s="5" t="s">
        <v>401</v>
      </c>
      <c r="C222" s="5" t="s">
        <v>401</v>
      </c>
      <c r="D222" s="5" t="s">
        <v>355</v>
      </c>
      <c r="E222" s="4" t="str">
        <f>"00971585992003"</f>
        <v>00971585992003</v>
      </c>
      <c r="F222" s="2" t="s">
        <v>12</v>
      </c>
      <c r="G222" s="2" t="s">
        <v>13</v>
      </c>
      <c r="H222" t="s">
        <v>14</v>
      </c>
      <c r="I222" s="1">
        <v>46086</v>
      </c>
      <c r="J222" t="s">
        <v>402</v>
      </c>
    </row>
    <row r="223" spans="1:10" x14ac:dyDescent="0.25">
      <c r="A223" s="3">
        <v>46086</v>
      </c>
      <c r="B223" s="5" t="s">
        <v>403</v>
      </c>
      <c r="C223" s="5" t="s">
        <v>403</v>
      </c>
      <c r="D223" s="5" t="s">
        <v>355</v>
      </c>
      <c r="E223" s="4" t="str">
        <f>"0097143466101"</f>
        <v>0097143466101</v>
      </c>
      <c r="F223" s="2" t="s">
        <v>12</v>
      </c>
      <c r="G223" s="2" t="s">
        <v>13</v>
      </c>
      <c r="H223" t="s">
        <v>14</v>
      </c>
      <c r="I223" s="1">
        <v>46086</v>
      </c>
      <c r="J223" t="s">
        <v>404</v>
      </c>
    </row>
    <row r="224" spans="1:10" x14ac:dyDescent="0.25">
      <c r="A224" s="3">
        <v>46086</v>
      </c>
      <c r="B224" s="5" t="s">
        <v>403</v>
      </c>
      <c r="C224" s="5" t="s">
        <v>403</v>
      </c>
      <c r="D224" s="5" t="s">
        <v>355</v>
      </c>
      <c r="E224" s="4" t="str">
        <f>"00971557970508"</f>
        <v>00971557970508</v>
      </c>
      <c r="F224" s="2" t="s">
        <v>12</v>
      </c>
      <c r="G224" s="2" t="s">
        <v>13</v>
      </c>
      <c r="H224" t="s">
        <v>14</v>
      </c>
      <c r="I224" s="1">
        <v>46086</v>
      </c>
      <c r="J224" t="s">
        <v>405</v>
      </c>
    </row>
    <row r="225" spans="1:10" x14ac:dyDescent="0.25">
      <c r="A225" s="3">
        <v>46086</v>
      </c>
      <c r="B225" s="5" t="s">
        <v>406</v>
      </c>
      <c r="C225" s="5" t="s">
        <v>406</v>
      </c>
      <c r="D225" s="5" t="s">
        <v>355</v>
      </c>
      <c r="E225" s="4" t="str">
        <f>"0097143490744"</f>
        <v>0097143490744</v>
      </c>
      <c r="F225" s="2" t="s">
        <v>12</v>
      </c>
      <c r="G225" s="2" t="s">
        <v>13</v>
      </c>
      <c r="H225" t="s">
        <v>14</v>
      </c>
      <c r="I225" s="1">
        <v>46086</v>
      </c>
      <c r="J225" t="s">
        <v>407</v>
      </c>
    </row>
    <row r="226" spans="1:10" x14ac:dyDescent="0.25">
      <c r="A226" s="3">
        <v>46086</v>
      </c>
      <c r="B226" s="5" t="s">
        <v>408</v>
      </c>
      <c r="C226" s="5" t="s">
        <v>408</v>
      </c>
      <c r="D226" s="5" t="s">
        <v>355</v>
      </c>
      <c r="E226" s="4" t="str">
        <f>"0097144541082"</f>
        <v>0097144541082</v>
      </c>
      <c r="F226" s="2" t="s">
        <v>12</v>
      </c>
      <c r="G226" s="2" t="s">
        <v>13</v>
      </c>
      <c r="H226" t="s">
        <v>14</v>
      </c>
      <c r="I226" s="1">
        <v>46086</v>
      </c>
      <c r="J226" t="s">
        <v>409</v>
      </c>
    </row>
    <row r="227" spans="1:10" x14ac:dyDescent="0.25">
      <c r="A227" s="3">
        <v>46086</v>
      </c>
      <c r="B227" s="5" t="s">
        <v>410</v>
      </c>
      <c r="C227" s="5" t="s">
        <v>410</v>
      </c>
      <c r="D227" s="5" t="s">
        <v>355</v>
      </c>
      <c r="E227" s="4" t="str">
        <f>"00971555158001"</f>
        <v>00971555158001</v>
      </c>
      <c r="F227" s="2" t="s">
        <v>12</v>
      </c>
      <c r="G227" s="2" t="s">
        <v>13</v>
      </c>
      <c r="H227" t="s">
        <v>14</v>
      </c>
      <c r="I227" s="1">
        <v>46086</v>
      </c>
      <c r="J227" t="s">
        <v>411</v>
      </c>
    </row>
    <row r="228" spans="1:10" x14ac:dyDescent="0.25">
      <c r="A228" s="3">
        <v>46086</v>
      </c>
      <c r="B228" s="5" t="s">
        <v>412</v>
      </c>
      <c r="C228" s="5" t="s">
        <v>412</v>
      </c>
      <c r="D228" s="5" t="s">
        <v>355</v>
      </c>
      <c r="E228" s="4" t="str">
        <f>"0097143585133"</f>
        <v>0097143585133</v>
      </c>
      <c r="F228" s="2" t="s">
        <v>12</v>
      </c>
      <c r="G228" s="2" t="s">
        <v>13</v>
      </c>
      <c r="H228" t="s">
        <v>14</v>
      </c>
      <c r="I228" s="1">
        <v>46086</v>
      </c>
      <c r="J228" t="s">
        <v>413</v>
      </c>
    </row>
    <row r="229" spans="1:10" x14ac:dyDescent="0.25">
      <c r="A229" s="3">
        <v>46086</v>
      </c>
      <c r="B229" s="5" t="s">
        <v>414</v>
      </c>
      <c r="C229" s="5" t="s">
        <v>414</v>
      </c>
      <c r="D229" s="5" t="s">
        <v>355</v>
      </c>
      <c r="E229" s="4" t="str">
        <f>"0097144380310"</f>
        <v>0097144380310</v>
      </c>
      <c r="F229" s="2" t="s">
        <v>12</v>
      </c>
      <c r="G229" s="2" t="s">
        <v>13</v>
      </c>
      <c r="H229" t="s">
        <v>14</v>
      </c>
      <c r="I229" s="1">
        <v>46086</v>
      </c>
      <c r="J229" t="s">
        <v>415</v>
      </c>
    </row>
    <row r="230" spans="1:10" x14ac:dyDescent="0.25">
      <c r="A230" s="3">
        <v>46086</v>
      </c>
      <c r="B230" s="5" t="s">
        <v>416</v>
      </c>
      <c r="C230" s="5" t="s">
        <v>416</v>
      </c>
      <c r="D230" s="5" t="s">
        <v>355</v>
      </c>
      <c r="E230" s="4" t="str">
        <f>"00971504048070"</f>
        <v>00971504048070</v>
      </c>
      <c r="F230" s="2" t="s">
        <v>12</v>
      </c>
      <c r="G230" s="2" t="s">
        <v>13</v>
      </c>
      <c r="H230" t="s">
        <v>14</v>
      </c>
      <c r="I230" s="1">
        <v>46086</v>
      </c>
      <c r="J230" t="s">
        <v>417</v>
      </c>
    </row>
    <row r="231" spans="1:10" x14ac:dyDescent="0.25">
      <c r="A231" s="3">
        <v>46086</v>
      </c>
      <c r="B231" s="5" t="s">
        <v>416</v>
      </c>
      <c r="C231" s="5" t="s">
        <v>416</v>
      </c>
      <c r="D231" s="5" t="s">
        <v>355</v>
      </c>
      <c r="E231" s="4" t="str">
        <f>"00971800244687"</f>
        <v>00971800244687</v>
      </c>
      <c r="F231" s="2" t="s">
        <v>12</v>
      </c>
      <c r="G231" s="2" t="s">
        <v>13</v>
      </c>
      <c r="H231" t="s">
        <v>14</v>
      </c>
      <c r="I231" s="1">
        <v>46086</v>
      </c>
      <c r="J231" t="s">
        <v>418</v>
      </c>
    </row>
    <row r="232" spans="1:10" x14ac:dyDescent="0.25">
      <c r="A232" s="3">
        <v>46086</v>
      </c>
      <c r="B232" s="5" t="s">
        <v>419</v>
      </c>
      <c r="C232" s="5" t="s">
        <v>419</v>
      </c>
      <c r="D232" s="5" t="s">
        <v>355</v>
      </c>
      <c r="E232" s="4" t="str">
        <f>"0097143453727"</f>
        <v>0097143453727</v>
      </c>
      <c r="F232" s="2" t="s">
        <v>12</v>
      </c>
      <c r="G232" s="2" t="s">
        <v>13</v>
      </c>
      <c r="H232" t="s">
        <v>14</v>
      </c>
      <c r="I232" s="1">
        <v>46086</v>
      </c>
      <c r="J232" t="s">
        <v>420</v>
      </c>
    </row>
    <row r="233" spans="1:10" x14ac:dyDescent="0.25">
      <c r="A233" s="3">
        <v>46086</v>
      </c>
      <c r="B233" s="5" t="s">
        <v>421</v>
      </c>
      <c r="C233" s="5" t="s">
        <v>421</v>
      </c>
      <c r="D233" s="5" t="s">
        <v>355</v>
      </c>
      <c r="E233" s="4" t="str">
        <f>"0097144504821"</f>
        <v>0097144504821</v>
      </c>
      <c r="F233" s="2" t="s">
        <v>12</v>
      </c>
      <c r="G233" s="2" t="s">
        <v>13</v>
      </c>
      <c r="H233" t="s">
        <v>14</v>
      </c>
      <c r="I233" s="1">
        <v>46086</v>
      </c>
      <c r="J233" t="s">
        <v>422</v>
      </c>
    </row>
    <row r="234" spans="1:10" x14ac:dyDescent="0.25">
      <c r="A234" s="3">
        <v>46086</v>
      </c>
      <c r="B234" s="5" t="s">
        <v>423</v>
      </c>
      <c r="C234" s="5" t="s">
        <v>423</v>
      </c>
      <c r="D234" s="5" t="s">
        <v>355</v>
      </c>
      <c r="E234" s="4" t="str">
        <f>"0097144572307"</f>
        <v>0097144572307</v>
      </c>
      <c r="F234" s="2" t="s">
        <v>12</v>
      </c>
      <c r="G234" s="2" t="s">
        <v>13</v>
      </c>
      <c r="H234" t="s">
        <v>14</v>
      </c>
      <c r="I234" s="1">
        <v>46086</v>
      </c>
      <c r="J234" t="s">
        <v>424</v>
      </c>
    </row>
    <row r="235" spans="1:10" x14ac:dyDescent="0.25">
      <c r="A235" s="3">
        <v>46086</v>
      </c>
      <c r="B235" s="5" t="s">
        <v>425</v>
      </c>
      <c r="C235" s="5" t="s">
        <v>425</v>
      </c>
      <c r="D235" s="5" t="s">
        <v>355</v>
      </c>
      <c r="E235" s="4" t="str">
        <f>"0097142522438"</f>
        <v>0097142522438</v>
      </c>
      <c r="F235" s="2" t="s">
        <v>12</v>
      </c>
      <c r="G235" s="2" t="s">
        <v>13</v>
      </c>
      <c r="H235" t="s">
        <v>14</v>
      </c>
      <c r="I235" s="1">
        <v>46086</v>
      </c>
      <c r="J235" t="s">
        <v>426</v>
      </c>
    </row>
    <row r="236" spans="1:10" x14ac:dyDescent="0.25">
      <c r="A236" s="3">
        <v>46086</v>
      </c>
      <c r="B236" s="5" t="s">
        <v>425</v>
      </c>
      <c r="C236" s="5" t="s">
        <v>425</v>
      </c>
      <c r="D236" s="5" t="s">
        <v>355</v>
      </c>
      <c r="E236" s="4" t="str">
        <f>"00971508988247"</f>
        <v>00971508988247</v>
      </c>
      <c r="F236" s="2" t="s">
        <v>12</v>
      </c>
      <c r="G236" s="2" t="s">
        <v>13</v>
      </c>
      <c r="H236" t="s">
        <v>14</v>
      </c>
      <c r="I236" s="1">
        <v>46086</v>
      </c>
      <c r="J236" t="s">
        <v>427</v>
      </c>
    </row>
    <row r="237" spans="1:10" x14ac:dyDescent="0.25">
      <c r="A237" s="3">
        <v>46086</v>
      </c>
      <c r="B237" s="5" t="s">
        <v>428</v>
      </c>
      <c r="C237" s="5" t="s">
        <v>428</v>
      </c>
      <c r="D237" s="5" t="s">
        <v>355</v>
      </c>
      <c r="E237" s="4" t="str">
        <f>"0097142672848"</f>
        <v>0097142672848</v>
      </c>
      <c r="F237" s="2" t="s">
        <v>12</v>
      </c>
      <c r="G237" s="2" t="s">
        <v>13</v>
      </c>
      <c r="H237" t="s">
        <v>14</v>
      </c>
      <c r="I237" s="1">
        <v>46086</v>
      </c>
      <c r="J237" t="s">
        <v>429</v>
      </c>
    </row>
    <row r="238" spans="1:10" x14ac:dyDescent="0.25">
      <c r="A238" s="3">
        <v>46086</v>
      </c>
      <c r="B238" s="5" t="s">
        <v>430</v>
      </c>
      <c r="C238" s="5" t="s">
        <v>430</v>
      </c>
      <c r="D238" s="5" t="s">
        <v>355</v>
      </c>
      <c r="E238" s="4" t="str">
        <f>"0097144527779"</f>
        <v>0097144527779</v>
      </c>
      <c r="F238" s="2" t="s">
        <v>12</v>
      </c>
      <c r="G238" s="2" t="s">
        <v>13</v>
      </c>
      <c r="H238" t="s">
        <v>14</v>
      </c>
      <c r="I238" s="1">
        <v>46086</v>
      </c>
      <c r="J238" t="s">
        <v>431</v>
      </c>
    </row>
    <row r="239" spans="1:10" x14ac:dyDescent="0.25">
      <c r="A239" s="3">
        <v>46086</v>
      </c>
      <c r="B239" s="5" t="s">
        <v>432</v>
      </c>
      <c r="C239" s="5" t="s">
        <v>432</v>
      </c>
      <c r="D239" s="5" t="s">
        <v>355</v>
      </c>
      <c r="E239" s="4" t="str">
        <f>"0097144305054"</f>
        <v>0097144305054</v>
      </c>
      <c r="F239" s="2" t="s">
        <v>12</v>
      </c>
      <c r="G239" s="2" t="s">
        <v>13</v>
      </c>
      <c r="H239" t="s">
        <v>14</v>
      </c>
      <c r="I239" s="1">
        <v>46086</v>
      </c>
      <c r="J239" t="s">
        <v>433</v>
      </c>
    </row>
    <row r="240" spans="1:10" x14ac:dyDescent="0.25">
      <c r="A240" s="3">
        <v>46086</v>
      </c>
      <c r="B240" s="5" t="s">
        <v>434</v>
      </c>
      <c r="C240" s="5" t="s">
        <v>434</v>
      </c>
      <c r="D240" s="5" t="s">
        <v>355</v>
      </c>
      <c r="E240" s="4" t="str">
        <f>"0097142655561"</f>
        <v>0097142655561</v>
      </c>
      <c r="F240" s="2" t="s">
        <v>12</v>
      </c>
      <c r="G240" s="2" t="s">
        <v>13</v>
      </c>
      <c r="H240" t="s">
        <v>14</v>
      </c>
      <c r="I240" s="1">
        <v>46086</v>
      </c>
      <c r="J240" t="s">
        <v>435</v>
      </c>
    </row>
    <row r="241" spans="1:10" x14ac:dyDescent="0.25">
      <c r="A241" s="3">
        <v>46086</v>
      </c>
      <c r="B241" s="5" t="s">
        <v>436</v>
      </c>
      <c r="C241" s="5" t="s">
        <v>436</v>
      </c>
      <c r="D241" s="5" t="s">
        <v>355</v>
      </c>
      <c r="E241" s="4" t="str">
        <f>"00971562730030"</f>
        <v>00971562730030</v>
      </c>
      <c r="F241" s="2" t="s">
        <v>12</v>
      </c>
      <c r="G241" s="2" t="s">
        <v>13</v>
      </c>
      <c r="H241" t="s">
        <v>14</v>
      </c>
      <c r="I241" s="1">
        <v>46086</v>
      </c>
      <c r="J241" t="s">
        <v>437</v>
      </c>
    </row>
    <row r="242" spans="1:10" x14ac:dyDescent="0.25">
      <c r="A242" s="3">
        <v>46086</v>
      </c>
      <c r="B242" s="5" t="s">
        <v>438</v>
      </c>
      <c r="C242" s="5" t="s">
        <v>438</v>
      </c>
      <c r="D242" s="5" t="s">
        <v>355</v>
      </c>
      <c r="E242" s="4" t="str">
        <f>"0097142221797"</f>
        <v>0097142221797</v>
      </c>
      <c r="F242" s="2" t="s">
        <v>12</v>
      </c>
      <c r="G242" s="2" t="s">
        <v>13</v>
      </c>
      <c r="H242" t="s">
        <v>14</v>
      </c>
      <c r="I242" s="1">
        <v>46086</v>
      </c>
      <c r="J242" t="s">
        <v>439</v>
      </c>
    </row>
    <row r="243" spans="1:10" x14ac:dyDescent="0.25">
      <c r="A243" s="3">
        <v>46086</v>
      </c>
      <c r="B243" s="5" t="s">
        <v>440</v>
      </c>
      <c r="C243" s="5" t="s">
        <v>440</v>
      </c>
      <c r="D243" s="5" t="s">
        <v>355</v>
      </c>
      <c r="E243" s="4" t="str">
        <f>"0097143384447"</f>
        <v>0097143384447</v>
      </c>
      <c r="F243" s="2" t="s">
        <v>12</v>
      </c>
      <c r="G243" s="2" t="s">
        <v>13</v>
      </c>
      <c r="H243" t="s">
        <v>14</v>
      </c>
      <c r="I243" s="1">
        <v>46086</v>
      </c>
      <c r="J243" t="s">
        <v>441</v>
      </c>
    </row>
    <row r="244" spans="1:10" x14ac:dyDescent="0.25">
      <c r="A244" s="3">
        <v>46086</v>
      </c>
      <c r="B244" s="5" t="s">
        <v>442</v>
      </c>
      <c r="C244" s="5" t="s">
        <v>442</v>
      </c>
      <c r="D244" s="5" t="s">
        <v>355</v>
      </c>
      <c r="E244" s="4" t="str">
        <f>"0097143274483"</f>
        <v>0097143274483</v>
      </c>
      <c r="F244" s="2" t="s">
        <v>12</v>
      </c>
      <c r="G244" s="2" t="s">
        <v>13</v>
      </c>
      <c r="H244" t="s">
        <v>14</v>
      </c>
      <c r="I244" s="1">
        <v>46086</v>
      </c>
      <c r="J244" t="s">
        <v>443</v>
      </c>
    </row>
    <row r="245" spans="1:10" x14ac:dyDescent="0.25">
      <c r="A245" s="3">
        <v>46086</v>
      </c>
      <c r="B245" s="5" t="s">
        <v>444</v>
      </c>
      <c r="C245" s="5" t="s">
        <v>444</v>
      </c>
      <c r="D245" s="5" t="s">
        <v>355</v>
      </c>
      <c r="E245" s="4" t="str">
        <f>"0097142977322"</f>
        <v>0097142977322</v>
      </c>
      <c r="F245" s="2" t="s">
        <v>12</v>
      </c>
      <c r="G245" s="2" t="s">
        <v>13</v>
      </c>
      <c r="H245" t="s">
        <v>14</v>
      </c>
      <c r="I245" s="1">
        <v>46086</v>
      </c>
      <c r="J245" t="s">
        <v>445</v>
      </c>
    </row>
    <row r="246" spans="1:10" x14ac:dyDescent="0.25">
      <c r="A246" s="3">
        <v>46086</v>
      </c>
      <c r="B246" s="5" t="s">
        <v>446</v>
      </c>
      <c r="C246" s="5" t="s">
        <v>446</v>
      </c>
      <c r="D246" s="5" t="s">
        <v>355</v>
      </c>
      <c r="E246" s="4" t="str">
        <f>"0097143606663"</f>
        <v>0097143606663</v>
      </c>
      <c r="F246" s="2" t="s">
        <v>12</v>
      </c>
      <c r="G246" s="2" t="s">
        <v>13</v>
      </c>
      <c r="H246" t="s">
        <v>14</v>
      </c>
      <c r="I246" s="1">
        <v>46086</v>
      </c>
      <c r="J246" t="s">
        <v>447</v>
      </c>
    </row>
    <row r="247" spans="1:10" x14ac:dyDescent="0.25">
      <c r="A247" s="3">
        <v>46086</v>
      </c>
      <c r="B247" s="5" t="s">
        <v>448</v>
      </c>
      <c r="C247" s="5" t="s">
        <v>448</v>
      </c>
      <c r="D247" s="5" t="s">
        <v>355</v>
      </c>
      <c r="E247" s="4" t="str">
        <f>"0097143237432"</f>
        <v>0097143237432</v>
      </c>
      <c r="F247" s="2" t="s">
        <v>12</v>
      </c>
      <c r="G247" s="2" t="s">
        <v>13</v>
      </c>
      <c r="H247" t="s">
        <v>14</v>
      </c>
      <c r="I247" s="1">
        <v>46086</v>
      </c>
      <c r="J247" t="s">
        <v>449</v>
      </c>
    </row>
    <row r="248" spans="1:10" x14ac:dyDescent="0.25">
      <c r="A248" s="3">
        <v>46086</v>
      </c>
      <c r="B248" s="5" t="s">
        <v>450</v>
      </c>
      <c r="C248" s="5" t="s">
        <v>450</v>
      </c>
      <c r="D248" s="5" t="s">
        <v>355</v>
      </c>
      <c r="E248" s="4" t="str">
        <f>"0097144259999"</f>
        <v>0097144259999</v>
      </c>
      <c r="F248" s="2" t="s">
        <v>12</v>
      </c>
      <c r="G248" s="2" t="s">
        <v>13</v>
      </c>
      <c r="H248" t="s">
        <v>14</v>
      </c>
      <c r="I248" s="1">
        <v>46086</v>
      </c>
      <c r="J248" t="s">
        <v>451</v>
      </c>
    </row>
    <row r="249" spans="1:10" x14ac:dyDescent="0.25">
      <c r="A249" s="3">
        <v>46086</v>
      </c>
      <c r="B249" s="5" t="s">
        <v>452</v>
      </c>
      <c r="C249" s="5" t="s">
        <v>452</v>
      </c>
      <c r="D249" s="5" t="s">
        <v>355</v>
      </c>
      <c r="E249" s="4" t="str">
        <f>"00971585850360"</f>
        <v>00971585850360</v>
      </c>
      <c r="F249" s="2" t="s">
        <v>12</v>
      </c>
      <c r="G249" s="2" t="s">
        <v>13</v>
      </c>
      <c r="H249" t="s">
        <v>14</v>
      </c>
      <c r="I249" s="1">
        <v>46086</v>
      </c>
      <c r="J249" t="s">
        <v>453</v>
      </c>
    </row>
    <row r="250" spans="1:10" x14ac:dyDescent="0.25">
      <c r="A250" s="3">
        <v>46086</v>
      </c>
      <c r="B250" s="5" t="s">
        <v>452</v>
      </c>
      <c r="C250" s="5" t="s">
        <v>452</v>
      </c>
      <c r="D250" s="5" t="s">
        <v>355</v>
      </c>
      <c r="E250" s="4" t="str">
        <f>"00971585851360"</f>
        <v>00971585851360</v>
      </c>
      <c r="F250" s="2" t="s">
        <v>12</v>
      </c>
      <c r="G250" s="2" t="s">
        <v>13</v>
      </c>
      <c r="H250" t="s">
        <v>14</v>
      </c>
      <c r="I250" s="1">
        <v>46086</v>
      </c>
      <c r="J250" t="s">
        <v>453</v>
      </c>
    </row>
    <row r="251" spans="1:10" x14ac:dyDescent="0.25">
      <c r="A251" s="3">
        <v>46086</v>
      </c>
      <c r="B251" s="5" t="s">
        <v>454</v>
      </c>
      <c r="C251" s="5" t="s">
        <v>454</v>
      </c>
      <c r="D251" s="5" t="s">
        <v>355</v>
      </c>
      <c r="E251" s="4" t="str">
        <f>"0097145509288"</f>
        <v>0097145509288</v>
      </c>
      <c r="F251" s="2" t="s">
        <v>12</v>
      </c>
      <c r="G251" s="2" t="s">
        <v>13</v>
      </c>
      <c r="H251" t="s">
        <v>14</v>
      </c>
      <c r="I251" s="1">
        <v>46086</v>
      </c>
      <c r="J251" t="s">
        <v>455</v>
      </c>
    </row>
    <row r="252" spans="1:10" x14ac:dyDescent="0.25">
      <c r="A252" s="3">
        <v>46086</v>
      </c>
      <c r="B252" s="5" t="s">
        <v>456</v>
      </c>
      <c r="C252" s="5" t="s">
        <v>456</v>
      </c>
      <c r="D252" s="5" t="s">
        <v>355</v>
      </c>
      <c r="E252" s="4" t="str">
        <f>"0097143873522"</f>
        <v>0097143873522</v>
      </c>
      <c r="F252" s="2" t="s">
        <v>12</v>
      </c>
      <c r="G252" s="2" t="s">
        <v>13</v>
      </c>
      <c r="H252" t="s">
        <v>14</v>
      </c>
      <c r="I252" s="1">
        <v>46086</v>
      </c>
      <c r="J252" t="s">
        <v>457</v>
      </c>
    </row>
    <row r="253" spans="1:10" x14ac:dyDescent="0.25">
      <c r="A253" s="3">
        <v>46086</v>
      </c>
      <c r="B253" s="5" t="s">
        <v>456</v>
      </c>
      <c r="C253" s="5" t="s">
        <v>456</v>
      </c>
      <c r="D253" s="5" t="s">
        <v>355</v>
      </c>
      <c r="E253" s="4" t="str">
        <f>"00971552198410"</f>
        <v>00971552198410</v>
      </c>
      <c r="F253" s="2" t="s">
        <v>12</v>
      </c>
      <c r="G253" s="2" t="s">
        <v>13</v>
      </c>
      <c r="H253" t="s">
        <v>14</v>
      </c>
      <c r="I253" s="1">
        <v>46086</v>
      </c>
      <c r="J253" t="s">
        <v>458</v>
      </c>
    </row>
    <row r="254" spans="1:10" x14ac:dyDescent="0.25">
      <c r="A254" s="3">
        <v>46086</v>
      </c>
      <c r="B254" s="5" t="s">
        <v>459</v>
      </c>
      <c r="C254" s="5" t="s">
        <v>459</v>
      </c>
      <c r="D254" s="5" t="s">
        <v>355</v>
      </c>
      <c r="E254" s="4" t="str">
        <f>"0097143332175"</f>
        <v>0097143332175</v>
      </c>
      <c r="F254" s="2" t="s">
        <v>12</v>
      </c>
      <c r="G254" s="2" t="s">
        <v>13</v>
      </c>
      <c r="H254" t="s">
        <v>14</v>
      </c>
      <c r="I254" s="1">
        <v>46086</v>
      </c>
      <c r="J254" t="s">
        <v>460</v>
      </c>
    </row>
    <row r="255" spans="1:10" x14ac:dyDescent="0.25">
      <c r="A255" s="3">
        <v>46086</v>
      </c>
      <c r="B255" s="5" t="s">
        <v>459</v>
      </c>
      <c r="C255" s="5" t="s">
        <v>459</v>
      </c>
      <c r="D255" s="5" t="s">
        <v>355</v>
      </c>
      <c r="E255" s="4" t="str">
        <f>"00971553332175"</f>
        <v>00971553332175</v>
      </c>
      <c r="F255" s="2" t="s">
        <v>12</v>
      </c>
      <c r="G255" s="2" t="s">
        <v>13</v>
      </c>
      <c r="H255" t="s">
        <v>14</v>
      </c>
      <c r="I255" s="1">
        <v>46086</v>
      </c>
      <c r="J255" t="s">
        <v>461</v>
      </c>
    </row>
    <row r="256" spans="1:10" x14ac:dyDescent="0.25">
      <c r="A256" s="3">
        <v>46086</v>
      </c>
      <c r="B256" s="5" t="s">
        <v>462</v>
      </c>
      <c r="C256" s="5" t="s">
        <v>462</v>
      </c>
      <c r="D256" s="5" t="s">
        <v>355</v>
      </c>
      <c r="E256" s="4" t="str">
        <f>"0097142393038"</f>
        <v>0097142393038</v>
      </c>
      <c r="F256" s="2" t="s">
        <v>12</v>
      </c>
      <c r="G256" s="2" t="s">
        <v>13</v>
      </c>
      <c r="H256" t="s">
        <v>14</v>
      </c>
      <c r="I256" s="1">
        <v>46086</v>
      </c>
      <c r="J256" t="s">
        <v>463</v>
      </c>
    </row>
    <row r="257" spans="1:10" x14ac:dyDescent="0.25">
      <c r="A257" s="3">
        <v>46086</v>
      </c>
      <c r="B257" s="5" t="s">
        <v>462</v>
      </c>
      <c r="C257" s="5" t="s">
        <v>462</v>
      </c>
      <c r="D257" s="5" t="s">
        <v>355</v>
      </c>
      <c r="E257" s="4" t="str">
        <f>"0097142892164"</f>
        <v>0097142892164</v>
      </c>
      <c r="F257" s="2" t="s">
        <v>12</v>
      </c>
      <c r="G257" s="2" t="s">
        <v>13</v>
      </c>
      <c r="H257" t="s">
        <v>14</v>
      </c>
      <c r="I257" s="1">
        <v>46086</v>
      </c>
      <c r="J257" t="s">
        <v>463</v>
      </c>
    </row>
    <row r="258" spans="1:10" x14ac:dyDescent="0.25">
      <c r="A258" s="3">
        <v>46086</v>
      </c>
      <c r="B258" s="5" t="s">
        <v>462</v>
      </c>
      <c r="C258" s="5" t="s">
        <v>462</v>
      </c>
      <c r="D258" s="5" t="s">
        <v>355</v>
      </c>
      <c r="E258" s="4" t="str">
        <f>"0097143345866"</f>
        <v>0097143345866</v>
      </c>
      <c r="F258" s="2" t="s">
        <v>12</v>
      </c>
      <c r="G258" s="2" t="s">
        <v>13</v>
      </c>
      <c r="H258" t="s">
        <v>14</v>
      </c>
      <c r="I258" s="1">
        <v>46086</v>
      </c>
      <c r="J258" t="s">
        <v>464</v>
      </c>
    </row>
    <row r="259" spans="1:10" x14ac:dyDescent="0.25">
      <c r="A259" s="3">
        <v>46086</v>
      </c>
      <c r="B259" s="5" t="s">
        <v>462</v>
      </c>
      <c r="C259" s="5" t="s">
        <v>462</v>
      </c>
      <c r="D259" s="5" t="s">
        <v>355</v>
      </c>
      <c r="E259" s="4" t="str">
        <f>"0097143347674"</f>
        <v>0097143347674</v>
      </c>
      <c r="F259" s="2" t="s">
        <v>12</v>
      </c>
      <c r="G259" s="2" t="s">
        <v>13</v>
      </c>
      <c r="H259" t="s">
        <v>14</v>
      </c>
      <c r="I259" s="1">
        <v>46086</v>
      </c>
      <c r="J259" t="s">
        <v>464</v>
      </c>
    </row>
    <row r="260" spans="1:10" x14ac:dyDescent="0.25">
      <c r="A260" s="3">
        <v>46086</v>
      </c>
      <c r="B260" s="5" t="s">
        <v>462</v>
      </c>
      <c r="C260" s="5" t="s">
        <v>462</v>
      </c>
      <c r="D260" s="5" t="s">
        <v>355</v>
      </c>
      <c r="E260" s="4" t="str">
        <f>"0097143493365"</f>
        <v>0097143493365</v>
      </c>
      <c r="F260" s="2" t="s">
        <v>12</v>
      </c>
      <c r="G260" s="2" t="s">
        <v>13</v>
      </c>
      <c r="H260" t="s">
        <v>14</v>
      </c>
      <c r="I260" s="1">
        <v>46086</v>
      </c>
      <c r="J260" t="s">
        <v>465</v>
      </c>
    </row>
    <row r="261" spans="1:10" x14ac:dyDescent="0.25">
      <c r="A261" s="3">
        <v>46086</v>
      </c>
      <c r="B261" s="5" t="s">
        <v>462</v>
      </c>
      <c r="C261" s="5" t="s">
        <v>462</v>
      </c>
      <c r="D261" s="5" t="s">
        <v>355</v>
      </c>
      <c r="E261" s="4" t="str">
        <f>"0097143496365"</f>
        <v>0097143496365</v>
      </c>
      <c r="F261" s="2" t="s">
        <v>12</v>
      </c>
      <c r="G261" s="2" t="s">
        <v>13</v>
      </c>
      <c r="H261" t="s">
        <v>14</v>
      </c>
      <c r="I261" s="1">
        <v>46086</v>
      </c>
      <c r="J261" t="s">
        <v>465</v>
      </c>
    </row>
    <row r="262" spans="1:10" x14ac:dyDescent="0.25">
      <c r="A262" s="3">
        <v>46086</v>
      </c>
      <c r="B262" s="5" t="s">
        <v>466</v>
      </c>
      <c r="C262" s="5" t="s">
        <v>466</v>
      </c>
      <c r="D262" s="5" t="s">
        <v>355</v>
      </c>
      <c r="E262" s="4" t="str">
        <f>"00971563509559"</f>
        <v>00971563509559</v>
      </c>
      <c r="F262" s="2" t="s">
        <v>12</v>
      </c>
      <c r="G262" s="2" t="s">
        <v>13</v>
      </c>
      <c r="H262" t="s">
        <v>14</v>
      </c>
      <c r="I262" s="1">
        <v>46086</v>
      </c>
      <c r="J262" t="s">
        <v>467</v>
      </c>
    </row>
    <row r="263" spans="1:10" x14ac:dyDescent="0.25">
      <c r="A263" s="3">
        <v>46086</v>
      </c>
      <c r="B263" s="5" t="s">
        <v>468</v>
      </c>
      <c r="C263" s="5" t="s">
        <v>468</v>
      </c>
      <c r="D263" s="5" t="s">
        <v>355</v>
      </c>
      <c r="E263" s="4" t="str">
        <f>"0097142990922"</f>
        <v>0097142990922</v>
      </c>
      <c r="F263" s="2" t="s">
        <v>12</v>
      </c>
      <c r="G263" s="2" t="s">
        <v>13</v>
      </c>
      <c r="H263" t="s">
        <v>14</v>
      </c>
      <c r="I263" s="1">
        <v>46086</v>
      </c>
      <c r="J263" t="s">
        <v>469</v>
      </c>
    </row>
    <row r="264" spans="1:10" x14ac:dyDescent="0.25">
      <c r="A264" s="3">
        <v>46086</v>
      </c>
      <c r="B264" s="5" t="s">
        <v>468</v>
      </c>
      <c r="C264" s="5" t="s">
        <v>468</v>
      </c>
      <c r="D264" s="5" t="s">
        <v>355</v>
      </c>
      <c r="E264" s="4" t="str">
        <f>"00971521675135"</f>
        <v>00971521675135</v>
      </c>
      <c r="F264" s="2" t="s">
        <v>12</v>
      </c>
      <c r="G264" s="2" t="s">
        <v>13</v>
      </c>
      <c r="H264" t="s">
        <v>14</v>
      </c>
      <c r="I264" s="1">
        <v>46086</v>
      </c>
      <c r="J264" t="s">
        <v>470</v>
      </c>
    </row>
    <row r="265" spans="1:10" x14ac:dyDescent="0.25">
      <c r="A265" s="3">
        <v>46086</v>
      </c>
      <c r="B265" s="5" t="s">
        <v>471</v>
      </c>
      <c r="C265" s="5" t="s">
        <v>471</v>
      </c>
      <c r="D265" s="5" t="s">
        <v>355</v>
      </c>
      <c r="E265" s="4" t="str">
        <f>"00971561765970"</f>
        <v>00971561765970</v>
      </c>
      <c r="F265" s="2" t="s">
        <v>12</v>
      </c>
      <c r="G265" s="2" t="s">
        <v>13</v>
      </c>
      <c r="H265" t="s">
        <v>14</v>
      </c>
      <c r="I265" s="1">
        <v>46086</v>
      </c>
      <c r="J265" t="s">
        <v>472</v>
      </c>
    </row>
    <row r="266" spans="1:10" x14ac:dyDescent="0.25">
      <c r="A266" s="3">
        <v>46086</v>
      </c>
      <c r="B266" s="5" t="s">
        <v>473</v>
      </c>
      <c r="C266" s="5" t="s">
        <v>473</v>
      </c>
      <c r="D266" s="5" t="s">
        <v>355</v>
      </c>
      <c r="E266" s="4" t="str">
        <f>"0097143313392"</f>
        <v>0097143313392</v>
      </c>
      <c r="F266" s="2" t="s">
        <v>12</v>
      </c>
      <c r="G266" s="2" t="s">
        <v>13</v>
      </c>
      <c r="H266" t="s">
        <v>14</v>
      </c>
      <c r="I266" s="1">
        <v>46086</v>
      </c>
      <c r="J266" t="s">
        <v>474</v>
      </c>
    </row>
    <row r="267" spans="1:10" x14ac:dyDescent="0.25">
      <c r="A267" s="3">
        <v>46086</v>
      </c>
      <c r="B267" s="5" t="s">
        <v>475</v>
      </c>
      <c r="C267" s="5" t="s">
        <v>475</v>
      </c>
      <c r="D267" s="5" t="s">
        <v>355</v>
      </c>
      <c r="E267" s="4" t="str">
        <f>"0097143291721"</f>
        <v>0097143291721</v>
      </c>
      <c r="F267" s="2" t="s">
        <v>12</v>
      </c>
      <c r="G267" s="2" t="s">
        <v>13</v>
      </c>
      <c r="H267" t="s">
        <v>14</v>
      </c>
      <c r="I267" s="1">
        <v>46086</v>
      </c>
      <c r="J267" t="s">
        <v>476</v>
      </c>
    </row>
    <row r="268" spans="1:10" x14ac:dyDescent="0.25">
      <c r="A268" s="3">
        <v>46086</v>
      </c>
      <c r="B268" s="5" t="s">
        <v>475</v>
      </c>
      <c r="C268" s="5" t="s">
        <v>475</v>
      </c>
      <c r="D268" s="5" t="s">
        <v>355</v>
      </c>
      <c r="E268" s="4" t="str">
        <f>"00971506610477"</f>
        <v>00971506610477</v>
      </c>
      <c r="F268" s="2" t="s">
        <v>12</v>
      </c>
      <c r="G268" s="2" t="s">
        <v>13</v>
      </c>
      <c r="H268" t="s">
        <v>14</v>
      </c>
      <c r="I268" s="1">
        <v>46086</v>
      </c>
      <c r="J268" t="s">
        <v>477</v>
      </c>
    </row>
    <row r="269" spans="1:10" x14ac:dyDescent="0.25">
      <c r="A269" s="3">
        <v>46086</v>
      </c>
      <c r="B269" s="5" t="s">
        <v>478</v>
      </c>
      <c r="C269" s="5" t="s">
        <v>478</v>
      </c>
      <c r="D269" s="5" t="s">
        <v>355</v>
      </c>
      <c r="E269" s="4" t="str">
        <f>"0097145776146"</f>
        <v>0097145776146</v>
      </c>
      <c r="F269" s="2" t="s">
        <v>12</v>
      </c>
      <c r="G269" s="2" t="s">
        <v>13</v>
      </c>
      <c r="H269" t="s">
        <v>14</v>
      </c>
      <c r="I269" s="1">
        <v>46086</v>
      </c>
      <c r="J269" t="s">
        <v>479</v>
      </c>
    </row>
    <row r="270" spans="1:10" x14ac:dyDescent="0.25">
      <c r="A270" s="3">
        <v>46086</v>
      </c>
      <c r="B270" s="5" t="s">
        <v>478</v>
      </c>
      <c r="C270" s="5" t="s">
        <v>478</v>
      </c>
      <c r="D270" s="5" t="s">
        <v>355</v>
      </c>
      <c r="E270" s="4" t="str">
        <f>"00971504819989"</f>
        <v>00971504819989</v>
      </c>
      <c r="F270" s="2" t="s">
        <v>12</v>
      </c>
      <c r="G270" s="2" t="s">
        <v>13</v>
      </c>
      <c r="H270" t="s">
        <v>14</v>
      </c>
      <c r="I270" s="1">
        <v>46086</v>
      </c>
      <c r="J270" t="s">
        <v>480</v>
      </c>
    </row>
    <row r="271" spans="1:10" x14ac:dyDescent="0.25">
      <c r="A271" s="3">
        <v>46086</v>
      </c>
      <c r="B271" s="5" t="s">
        <v>481</v>
      </c>
      <c r="C271" s="5" t="s">
        <v>481</v>
      </c>
      <c r="D271" s="5" t="s">
        <v>355</v>
      </c>
      <c r="E271" s="4" t="str">
        <f>"0097144472272"</f>
        <v>0097144472272</v>
      </c>
      <c r="F271" s="2" t="s">
        <v>12</v>
      </c>
      <c r="G271" s="2" t="s">
        <v>13</v>
      </c>
      <c r="H271" t="s">
        <v>14</v>
      </c>
      <c r="I271" s="1">
        <v>46086</v>
      </c>
      <c r="J271" t="s">
        <v>482</v>
      </c>
    </row>
    <row r="272" spans="1:10" x14ac:dyDescent="0.25">
      <c r="A272" s="3">
        <v>46086</v>
      </c>
      <c r="B272" s="5" t="s">
        <v>483</v>
      </c>
      <c r="C272" s="5" t="s">
        <v>483</v>
      </c>
      <c r="D272" s="5" t="s">
        <v>355</v>
      </c>
      <c r="E272" s="4" t="str">
        <f>"0097142951757"</f>
        <v>0097142951757</v>
      </c>
      <c r="F272" s="2" t="s">
        <v>12</v>
      </c>
      <c r="G272" s="2" t="s">
        <v>13</v>
      </c>
      <c r="H272" t="s">
        <v>14</v>
      </c>
      <c r="I272" s="1">
        <v>46086</v>
      </c>
      <c r="J272" t="s">
        <v>484</v>
      </c>
    </row>
    <row r="273" spans="1:10" x14ac:dyDescent="0.25">
      <c r="A273" s="3">
        <v>46086</v>
      </c>
      <c r="B273" s="5" t="s">
        <v>483</v>
      </c>
      <c r="C273" s="5" t="s">
        <v>483</v>
      </c>
      <c r="D273" s="5" t="s">
        <v>355</v>
      </c>
      <c r="E273" s="4" t="str">
        <f>"00971524581403"</f>
        <v>00971524581403</v>
      </c>
      <c r="F273" s="2" t="s">
        <v>12</v>
      </c>
      <c r="G273" s="2" t="s">
        <v>13</v>
      </c>
      <c r="H273" t="s">
        <v>14</v>
      </c>
      <c r="I273" s="1">
        <v>46086</v>
      </c>
      <c r="J273" t="s">
        <v>485</v>
      </c>
    </row>
    <row r="274" spans="1:10" x14ac:dyDescent="0.25">
      <c r="A274" s="3">
        <v>46086</v>
      </c>
      <c r="B274" s="5" t="s">
        <v>38</v>
      </c>
      <c r="C274" s="5" t="s">
        <v>38</v>
      </c>
      <c r="D274" s="5" t="s">
        <v>355</v>
      </c>
      <c r="E274" s="4" t="str">
        <f>"0097143670777"</f>
        <v>0097143670777</v>
      </c>
      <c r="F274" s="2" t="s">
        <v>12</v>
      </c>
      <c r="G274" s="2" t="s">
        <v>13</v>
      </c>
      <c r="H274" t="s">
        <v>14</v>
      </c>
      <c r="I274" s="1">
        <v>46086</v>
      </c>
      <c r="J274" t="s">
        <v>486</v>
      </c>
    </row>
    <row r="275" spans="1:10" x14ac:dyDescent="0.25">
      <c r="A275" s="3">
        <v>46086</v>
      </c>
      <c r="B275" s="5" t="s">
        <v>487</v>
      </c>
      <c r="C275" s="5" t="s">
        <v>487</v>
      </c>
      <c r="D275" s="5" t="s">
        <v>355</v>
      </c>
      <c r="E275" s="4" t="str">
        <f>"0097142950607"</f>
        <v>0097142950607</v>
      </c>
      <c r="F275" s="2" t="s">
        <v>12</v>
      </c>
      <c r="G275" s="2" t="s">
        <v>13</v>
      </c>
      <c r="H275" t="s">
        <v>14</v>
      </c>
      <c r="I275" s="1">
        <v>46086</v>
      </c>
      <c r="J275" t="s">
        <v>488</v>
      </c>
    </row>
    <row r="276" spans="1:10" x14ac:dyDescent="0.25">
      <c r="A276" s="3">
        <v>46086</v>
      </c>
      <c r="B276" s="5" t="s">
        <v>487</v>
      </c>
      <c r="C276" s="5" t="s">
        <v>487</v>
      </c>
      <c r="D276" s="5" t="s">
        <v>355</v>
      </c>
      <c r="E276" s="4" t="str">
        <f>"00971559318838"</f>
        <v>00971559318838</v>
      </c>
      <c r="F276" s="2" t="s">
        <v>12</v>
      </c>
      <c r="G276" s="2" t="s">
        <v>13</v>
      </c>
      <c r="H276" t="s">
        <v>14</v>
      </c>
      <c r="I276" s="1">
        <v>46086</v>
      </c>
      <c r="J276" t="s">
        <v>489</v>
      </c>
    </row>
    <row r="277" spans="1:10" x14ac:dyDescent="0.25">
      <c r="A277" s="3">
        <v>46086</v>
      </c>
      <c r="B277" s="5" t="s">
        <v>490</v>
      </c>
      <c r="C277" s="5" t="s">
        <v>490</v>
      </c>
      <c r="D277" s="5" t="s">
        <v>355</v>
      </c>
      <c r="E277" s="4" t="str">
        <f>"00971508112009"</f>
        <v>00971508112009</v>
      </c>
      <c r="F277" s="2" t="s">
        <v>12</v>
      </c>
      <c r="G277" s="2" t="s">
        <v>13</v>
      </c>
      <c r="H277" t="s">
        <v>14</v>
      </c>
      <c r="I277" s="1">
        <v>46086</v>
      </c>
      <c r="J277" t="s">
        <v>491</v>
      </c>
    </row>
    <row r="278" spans="1:10" x14ac:dyDescent="0.25">
      <c r="A278" s="3">
        <v>46086</v>
      </c>
      <c r="B278" s="5" t="s">
        <v>492</v>
      </c>
      <c r="C278" s="5" t="s">
        <v>492</v>
      </c>
      <c r="D278" s="5" t="s">
        <v>355</v>
      </c>
      <c r="E278" s="4" t="str">
        <f>"0097143882622"</f>
        <v>0097143882622</v>
      </c>
      <c r="F278" s="2" t="s">
        <v>12</v>
      </c>
      <c r="G278" s="2" t="s">
        <v>13</v>
      </c>
      <c r="H278" t="s">
        <v>14</v>
      </c>
      <c r="I278" s="1">
        <v>46086</v>
      </c>
      <c r="J278" t="s">
        <v>493</v>
      </c>
    </row>
    <row r="279" spans="1:10" x14ac:dyDescent="0.25">
      <c r="A279" s="3">
        <v>46086</v>
      </c>
      <c r="B279" s="5" t="s">
        <v>494</v>
      </c>
      <c r="C279" s="5" t="s">
        <v>494</v>
      </c>
      <c r="D279" s="5" t="s">
        <v>355</v>
      </c>
      <c r="E279" s="4" t="str">
        <f>"0097142672933"</f>
        <v>0097142672933</v>
      </c>
      <c r="F279" s="2" t="s">
        <v>12</v>
      </c>
      <c r="G279" s="2" t="s">
        <v>13</v>
      </c>
      <c r="H279" t="s">
        <v>14</v>
      </c>
      <c r="I279" s="1">
        <v>46086</v>
      </c>
      <c r="J279" t="s">
        <v>495</v>
      </c>
    </row>
    <row r="280" spans="1:10" x14ac:dyDescent="0.25">
      <c r="A280" s="3">
        <v>46086</v>
      </c>
      <c r="B280" s="5" t="s">
        <v>496</v>
      </c>
      <c r="C280" s="5" t="s">
        <v>496</v>
      </c>
      <c r="D280" s="5" t="s">
        <v>355</v>
      </c>
      <c r="E280" s="4" t="str">
        <f>"0097145786173"</f>
        <v>0097145786173</v>
      </c>
      <c r="F280" s="2" t="s">
        <v>12</v>
      </c>
      <c r="G280" s="2" t="s">
        <v>13</v>
      </c>
      <c r="H280" t="s">
        <v>14</v>
      </c>
      <c r="I280" s="1">
        <v>46086</v>
      </c>
      <c r="J280" t="s">
        <v>497</v>
      </c>
    </row>
    <row r="281" spans="1:10" x14ac:dyDescent="0.25">
      <c r="A281" s="3">
        <v>46086</v>
      </c>
      <c r="B281" s="5" t="s">
        <v>498</v>
      </c>
      <c r="C281" s="5" t="s">
        <v>498</v>
      </c>
      <c r="D281" s="5" t="s">
        <v>355</v>
      </c>
      <c r="E281" s="4" t="str">
        <f>"0097144529600"</f>
        <v>0097144529600</v>
      </c>
      <c r="F281" s="2" t="s">
        <v>12</v>
      </c>
      <c r="G281" s="2" t="s">
        <v>13</v>
      </c>
      <c r="H281" t="s">
        <v>14</v>
      </c>
      <c r="I281" s="1">
        <v>46086</v>
      </c>
      <c r="J281" t="s">
        <v>499</v>
      </c>
    </row>
    <row r="282" spans="1:10" x14ac:dyDescent="0.25">
      <c r="A282" s="3">
        <v>46086</v>
      </c>
      <c r="B282" s="5" t="s">
        <v>500</v>
      </c>
      <c r="C282" s="5" t="s">
        <v>500</v>
      </c>
      <c r="D282" s="5" t="s">
        <v>355</v>
      </c>
      <c r="E282" s="4" t="str">
        <f>"00971543943303"</f>
        <v>00971543943303</v>
      </c>
      <c r="F282" s="2" t="s">
        <v>12</v>
      </c>
      <c r="G282" s="2" t="s">
        <v>13</v>
      </c>
      <c r="H282" t="s">
        <v>14</v>
      </c>
      <c r="I282" s="1">
        <v>46086</v>
      </c>
      <c r="J282" t="s">
        <v>501</v>
      </c>
    </row>
    <row r="283" spans="1:10" x14ac:dyDescent="0.25">
      <c r="A283" s="3">
        <v>46086</v>
      </c>
      <c r="B283" s="5" t="s">
        <v>502</v>
      </c>
      <c r="C283" s="5" t="s">
        <v>502</v>
      </c>
      <c r="D283" s="5" t="s">
        <v>355</v>
      </c>
      <c r="E283" s="4" t="str">
        <f>"0097142660666"</f>
        <v>0097142660666</v>
      </c>
      <c r="F283" s="2" t="s">
        <v>12</v>
      </c>
      <c r="G283" s="2" t="s">
        <v>13</v>
      </c>
      <c r="H283" t="s">
        <v>14</v>
      </c>
      <c r="I283" s="1">
        <v>46086</v>
      </c>
      <c r="J283" t="s">
        <v>503</v>
      </c>
    </row>
    <row r="284" spans="1:10" x14ac:dyDescent="0.25">
      <c r="A284" s="3">
        <v>46086</v>
      </c>
      <c r="B284" s="5" t="s">
        <v>504</v>
      </c>
      <c r="C284" s="5" t="s">
        <v>504</v>
      </c>
      <c r="D284" s="5" t="s">
        <v>355</v>
      </c>
      <c r="E284" s="4" t="str">
        <f>"0097143979739"</f>
        <v>0097143979739</v>
      </c>
      <c r="F284" s="2" t="s">
        <v>12</v>
      </c>
      <c r="G284" s="2" t="s">
        <v>13</v>
      </c>
      <c r="H284" t="s">
        <v>14</v>
      </c>
      <c r="I284" s="1">
        <v>46086</v>
      </c>
      <c r="J284" t="s">
        <v>505</v>
      </c>
    </row>
    <row r="285" spans="1:10" x14ac:dyDescent="0.25">
      <c r="A285" s="3">
        <v>46086</v>
      </c>
      <c r="B285" s="5" t="s">
        <v>504</v>
      </c>
      <c r="C285" s="5" t="s">
        <v>504</v>
      </c>
      <c r="D285" s="5" t="s">
        <v>355</v>
      </c>
      <c r="E285" s="4" t="str">
        <f>"0097143999808"</f>
        <v>0097143999808</v>
      </c>
      <c r="F285" s="2" t="s">
        <v>12</v>
      </c>
      <c r="G285" s="2" t="s">
        <v>13</v>
      </c>
      <c r="H285" t="s">
        <v>14</v>
      </c>
      <c r="I285" s="1">
        <v>46086</v>
      </c>
      <c r="J285" t="s">
        <v>505</v>
      </c>
    </row>
    <row r="286" spans="1:10" x14ac:dyDescent="0.25">
      <c r="A286" s="3">
        <v>46086</v>
      </c>
      <c r="B286" s="5" t="s">
        <v>506</v>
      </c>
      <c r="C286" s="5" t="s">
        <v>506</v>
      </c>
      <c r="D286" s="5" t="s">
        <v>355</v>
      </c>
      <c r="E286" s="4" t="str">
        <f>"0097142285002"</f>
        <v>0097142285002</v>
      </c>
      <c r="F286" s="2" t="s">
        <v>12</v>
      </c>
      <c r="G286" s="2" t="s">
        <v>13</v>
      </c>
      <c r="H286" t="s">
        <v>14</v>
      </c>
      <c r="I286" s="1">
        <v>46086</v>
      </c>
      <c r="J286" t="s">
        <v>507</v>
      </c>
    </row>
    <row r="287" spans="1:10" x14ac:dyDescent="0.25">
      <c r="A287" s="3">
        <v>46086</v>
      </c>
      <c r="B287" s="5" t="s">
        <v>508</v>
      </c>
      <c r="C287" s="5" t="s">
        <v>508</v>
      </c>
      <c r="D287" s="5" t="s">
        <v>355</v>
      </c>
      <c r="E287" s="4" t="str">
        <f>"0097144357377"</f>
        <v>0097144357377</v>
      </c>
      <c r="F287" s="2" t="s">
        <v>12</v>
      </c>
      <c r="G287" s="2" t="s">
        <v>13</v>
      </c>
      <c r="H287" t="s">
        <v>14</v>
      </c>
      <c r="I287" s="1">
        <v>46086</v>
      </c>
      <c r="J287" t="s">
        <v>509</v>
      </c>
    </row>
    <row r="288" spans="1:10" x14ac:dyDescent="0.25">
      <c r="A288" s="3">
        <v>46086</v>
      </c>
      <c r="B288" s="5" t="s">
        <v>510</v>
      </c>
      <c r="C288" s="5" t="s">
        <v>510</v>
      </c>
      <c r="D288" s="5" t="s">
        <v>355</v>
      </c>
      <c r="E288" s="4" t="str">
        <f>"0097143236103"</f>
        <v>0097143236103</v>
      </c>
      <c r="F288" s="2" t="s">
        <v>12</v>
      </c>
      <c r="G288" s="2" t="s">
        <v>13</v>
      </c>
      <c r="H288" t="s">
        <v>14</v>
      </c>
      <c r="I288" s="1">
        <v>46086</v>
      </c>
      <c r="J288" t="s">
        <v>511</v>
      </c>
    </row>
    <row r="289" spans="1:10" x14ac:dyDescent="0.25">
      <c r="A289" s="3">
        <v>46086</v>
      </c>
      <c r="B289" s="5" t="s">
        <v>510</v>
      </c>
      <c r="C289" s="5" t="s">
        <v>510</v>
      </c>
      <c r="D289" s="5" t="s">
        <v>355</v>
      </c>
      <c r="E289" s="4" t="str">
        <f>"00971558797149"</f>
        <v>00971558797149</v>
      </c>
      <c r="F289" s="2" t="s">
        <v>12</v>
      </c>
      <c r="G289" s="2" t="s">
        <v>13</v>
      </c>
      <c r="H289" t="s">
        <v>14</v>
      </c>
      <c r="I289" s="1">
        <v>46086</v>
      </c>
      <c r="J289" t="s">
        <v>512</v>
      </c>
    </row>
    <row r="290" spans="1:10" x14ac:dyDescent="0.25">
      <c r="A290" s="3">
        <v>46086</v>
      </c>
      <c r="B290" s="5" t="s">
        <v>513</v>
      </c>
      <c r="C290" s="5" t="s">
        <v>513</v>
      </c>
      <c r="D290" s="5" t="s">
        <v>355</v>
      </c>
      <c r="E290" s="4" t="str">
        <f>"0097143400780"</f>
        <v>0097143400780</v>
      </c>
      <c r="F290" s="2" t="s">
        <v>12</v>
      </c>
      <c r="G290" s="2" t="s">
        <v>13</v>
      </c>
      <c r="H290" t="s">
        <v>14</v>
      </c>
      <c r="I290" s="1">
        <v>46086</v>
      </c>
      <c r="J290" t="s">
        <v>514</v>
      </c>
    </row>
    <row r="291" spans="1:10" x14ac:dyDescent="0.25">
      <c r="A291" s="3">
        <v>46086</v>
      </c>
      <c r="B291" s="5" t="s">
        <v>515</v>
      </c>
      <c r="C291" s="5" t="s">
        <v>515</v>
      </c>
      <c r="D291" s="5" t="s">
        <v>355</v>
      </c>
      <c r="E291" s="4" t="str">
        <f>"0097142655755"</f>
        <v>0097142655755</v>
      </c>
      <c r="F291" s="2" t="s">
        <v>12</v>
      </c>
      <c r="G291" s="2" t="s">
        <v>13</v>
      </c>
      <c r="H291" t="s">
        <v>14</v>
      </c>
      <c r="I291" s="1">
        <v>46086</v>
      </c>
      <c r="J291" t="s">
        <v>516</v>
      </c>
    </row>
    <row r="292" spans="1:10" x14ac:dyDescent="0.25">
      <c r="A292" s="3">
        <v>46086</v>
      </c>
      <c r="B292" s="5" t="s">
        <v>517</v>
      </c>
      <c r="C292" s="5" t="s">
        <v>517</v>
      </c>
      <c r="D292" s="5" t="s">
        <v>355</v>
      </c>
      <c r="E292" s="4" t="str">
        <f>"0097142581948"</f>
        <v>0097142581948</v>
      </c>
      <c r="F292" s="2" t="s">
        <v>12</v>
      </c>
      <c r="G292" s="2" t="s">
        <v>13</v>
      </c>
      <c r="H292" t="s">
        <v>14</v>
      </c>
      <c r="I292" s="1">
        <v>46086</v>
      </c>
      <c r="J292" t="s">
        <v>518</v>
      </c>
    </row>
    <row r="293" spans="1:10" x14ac:dyDescent="0.25">
      <c r="A293" s="3">
        <v>46086</v>
      </c>
      <c r="B293" s="5" t="s">
        <v>519</v>
      </c>
      <c r="C293" s="5" t="s">
        <v>519</v>
      </c>
      <c r="D293" s="5" t="s">
        <v>355</v>
      </c>
      <c r="E293" s="4" t="str">
        <f>"0097143335102"</f>
        <v>0097143335102</v>
      </c>
      <c r="F293" s="2" t="s">
        <v>12</v>
      </c>
      <c r="G293" s="2" t="s">
        <v>13</v>
      </c>
      <c r="H293" t="s">
        <v>14</v>
      </c>
      <c r="I293" s="1">
        <v>46086</v>
      </c>
      <c r="J293" t="s">
        <v>520</v>
      </c>
    </row>
    <row r="294" spans="1:10" x14ac:dyDescent="0.25">
      <c r="A294" s="3">
        <v>46086</v>
      </c>
      <c r="B294" s="5" t="s">
        <v>521</v>
      </c>
      <c r="C294" s="5" t="s">
        <v>521</v>
      </c>
      <c r="D294" s="5" t="s">
        <v>355</v>
      </c>
      <c r="E294" s="4" t="str">
        <f>"0097142381832"</f>
        <v>0097142381832</v>
      </c>
      <c r="F294" s="2" t="s">
        <v>12</v>
      </c>
      <c r="G294" s="2" t="s">
        <v>13</v>
      </c>
      <c r="H294" t="s">
        <v>14</v>
      </c>
      <c r="I294" s="1">
        <v>46086</v>
      </c>
      <c r="J294" t="s">
        <v>522</v>
      </c>
    </row>
    <row r="295" spans="1:10" x14ac:dyDescent="0.25">
      <c r="A295" s="3">
        <v>46086</v>
      </c>
      <c r="B295" s="5" t="s">
        <v>523</v>
      </c>
      <c r="C295" s="5" t="s">
        <v>523</v>
      </c>
      <c r="D295" s="5" t="s">
        <v>355</v>
      </c>
      <c r="E295" s="4" t="str">
        <f>"0097143534118"</f>
        <v>0097143534118</v>
      </c>
      <c r="F295" s="2" t="s">
        <v>12</v>
      </c>
      <c r="G295" s="2" t="s">
        <v>13</v>
      </c>
      <c r="H295" t="s">
        <v>14</v>
      </c>
      <c r="I295" s="1">
        <v>46086</v>
      </c>
      <c r="J295" t="s">
        <v>524</v>
      </c>
    </row>
    <row r="296" spans="1:10" x14ac:dyDescent="0.25">
      <c r="A296" s="3">
        <v>46086</v>
      </c>
      <c r="B296" s="5" t="s">
        <v>525</v>
      </c>
      <c r="C296" s="5" t="s">
        <v>525</v>
      </c>
      <c r="D296" s="5" t="s">
        <v>355</v>
      </c>
      <c r="E296" s="4" t="str">
        <f>"00971552264892"</f>
        <v>00971552264892</v>
      </c>
      <c r="F296" s="2" t="s">
        <v>12</v>
      </c>
      <c r="G296" s="2" t="s">
        <v>13</v>
      </c>
      <c r="H296" t="s">
        <v>14</v>
      </c>
      <c r="I296" s="1">
        <v>46086</v>
      </c>
      <c r="J296" t="s">
        <v>526</v>
      </c>
    </row>
    <row r="297" spans="1:10" x14ac:dyDescent="0.25">
      <c r="A297" s="3">
        <v>46086</v>
      </c>
      <c r="B297" s="5" t="s">
        <v>527</v>
      </c>
      <c r="C297" s="5" t="s">
        <v>527</v>
      </c>
      <c r="D297" s="5" t="s">
        <v>355</v>
      </c>
      <c r="E297" s="4" t="str">
        <f>"0097143395506"</f>
        <v>0097143395506</v>
      </c>
      <c r="F297" s="2" t="s">
        <v>12</v>
      </c>
      <c r="G297" s="2" t="s">
        <v>13</v>
      </c>
      <c r="H297" t="s">
        <v>14</v>
      </c>
      <c r="I297" s="1">
        <v>46086</v>
      </c>
      <c r="J297" t="s">
        <v>528</v>
      </c>
    </row>
    <row r="298" spans="1:10" x14ac:dyDescent="0.25">
      <c r="A298" s="3">
        <v>46086</v>
      </c>
      <c r="B298" s="5" t="s">
        <v>529</v>
      </c>
      <c r="C298" s="5" t="s">
        <v>529</v>
      </c>
      <c r="D298" s="5" t="s">
        <v>355</v>
      </c>
      <c r="E298" s="4" t="str">
        <f>"0097142278266"</f>
        <v>0097142278266</v>
      </c>
      <c r="F298" s="2" t="s">
        <v>12</v>
      </c>
      <c r="G298" s="2" t="s">
        <v>13</v>
      </c>
      <c r="H298" t="s">
        <v>14</v>
      </c>
      <c r="I298" s="1">
        <v>46086</v>
      </c>
      <c r="J298" t="s">
        <v>530</v>
      </c>
    </row>
    <row r="299" spans="1:10" x14ac:dyDescent="0.25">
      <c r="A299" s="3">
        <v>46086</v>
      </c>
      <c r="B299" s="5" t="s">
        <v>531</v>
      </c>
      <c r="C299" s="5" t="s">
        <v>531</v>
      </c>
      <c r="D299" s="5" t="s">
        <v>355</v>
      </c>
      <c r="E299" s="4" t="str">
        <f>"0097142349987"</f>
        <v>0097142349987</v>
      </c>
      <c r="F299" s="2" t="s">
        <v>12</v>
      </c>
      <c r="G299" s="2" t="s">
        <v>13</v>
      </c>
      <c r="H299" t="s">
        <v>14</v>
      </c>
      <c r="I299" s="1">
        <v>46086</v>
      </c>
      <c r="J299" t="s">
        <v>532</v>
      </c>
    </row>
    <row r="300" spans="1:10" x14ac:dyDescent="0.25">
      <c r="A300" s="3">
        <v>46086</v>
      </c>
      <c r="B300" s="5" t="s">
        <v>533</v>
      </c>
      <c r="C300" s="5" t="s">
        <v>533</v>
      </c>
      <c r="D300" s="5" t="s">
        <v>355</v>
      </c>
      <c r="E300" s="4" t="str">
        <f>"0097142690072"</f>
        <v>0097142690072</v>
      </c>
      <c r="F300" s="2" t="s">
        <v>12</v>
      </c>
      <c r="G300" s="2" t="s">
        <v>13</v>
      </c>
      <c r="H300" t="s">
        <v>14</v>
      </c>
      <c r="I300" s="1">
        <v>46086</v>
      </c>
      <c r="J300" t="s">
        <v>534</v>
      </c>
    </row>
    <row r="301" spans="1:10" x14ac:dyDescent="0.25">
      <c r="A301" s="3">
        <v>46086</v>
      </c>
      <c r="B301" s="5" t="s">
        <v>535</v>
      </c>
      <c r="C301" s="5" t="s">
        <v>535</v>
      </c>
      <c r="D301" s="5" t="s">
        <v>355</v>
      </c>
      <c r="E301" s="4" t="str">
        <f>"0097145538909"</f>
        <v>0097145538909</v>
      </c>
      <c r="F301" s="2" t="s">
        <v>12</v>
      </c>
      <c r="G301" s="2" t="s">
        <v>13</v>
      </c>
      <c r="H301" t="s">
        <v>14</v>
      </c>
      <c r="I301" s="1">
        <v>46086</v>
      </c>
      <c r="J301" t="s">
        <v>536</v>
      </c>
    </row>
    <row r="302" spans="1:10" x14ac:dyDescent="0.25">
      <c r="A302" s="3">
        <v>46086</v>
      </c>
      <c r="B302" s="5" t="s">
        <v>535</v>
      </c>
      <c r="C302" s="5" t="s">
        <v>535</v>
      </c>
      <c r="D302" s="5" t="s">
        <v>355</v>
      </c>
      <c r="E302" s="4" t="str">
        <f>"00971564468253"</f>
        <v>00971564468253</v>
      </c>
      <c r="F302" s="2" t="s">
        <v>12</v>
      </c>
      <c r="G302" s="2" t="s">
        <v>13</v>
      </c>
      <c r="H302" t="s">
        <v>14</v>
      </c>
      <c r="I302" s="1">
        <v>46086</v>
      </c>
      <c r="J302" t="s">
        <v>537</v>
      </c>
    </row>
    <row r="303" spans="1:10" x14ac:dyDescent="0.25">
      <c r="A303" s="3">
        <v>46086</v>
      </c>
      <c r="B303" s="5" t="s">
        <v>538</v>
      </c>
      <c r="C303" s="5" t="s">
        <v>538</v>
      </c>
      <c r="D303" s="5" t="s">
        <v>355</v>
      </c>
      <c r="E303" s="4" t="str">
        <f>"0097142505955"</f>
        <v>0097142505955</v>
      </c>
      <c r="F303" s="2" t="s">
        <v>12</v>
      </c>
      <c r="G303" s="2" t="s">
        <v>13</v>
      </c>
      <c r="H303" t="s">
        <v>14</v>
      </c>
      <c r="I303" s="1">
        <v>46086</v>
      </c>
      <c r="J303" t="s">
        <v>539</v>
      </c>
    </row>
    <row r="304" spans="1:10" x14ac:dyDescent="0.25">
      <c r="A304" s="3">
        <v>46086</v>
      </c>
      <c r="B304" s="5" t="s">
        <v>540</v>
      </c>
      <c r="C304" s="5" t="s">
        <v>540</v>
      </c>
      <c r="D304" s="5" t="s">
        <v>355</v>
      </c>
      <c r="E304" s="4" t="str">
        <f>"00971547775033"</f>
        <v>00971547775033</v>
      </c>
      <c r="F304" s="2" t="s">
        <v>12</v>
      </c>
      <c r="G304" s="2" t="s">
        <v>13</v>
      </c>
      <c r="H304" t="s">
        <v>14</v>
      </c>
      <c r="I304" s="1">
        <v>46086</v>
      </c>
      <c r="J304" t="s">
        <v>541</v>
      </c>
    </row>
    <row r="305" spans="1:10" x14ac:dyDescent="0.25">
      <c r="A305" s="3">
        <v>46086</v>
      </c>
      <c r="B305" s="5" t="s">
        <v>542</v>
      </c>
      <c r="C305" s="5" t="s">
        <v>542</v>
      </c>
      <c r="D305" s="5" t="s">
        <v>355</v>
      </c>
      <c r="E305" s="4" t="str">
        <f>"00971501099417"</f>
        <v>00971501099417</v>
      </c>
      <c r="F305" s="2" t="s">
        <v>12</v>
      </c>
      <c r="G305" s="2" t="s">
        <v>13</v>
      </c>
      <c r="H305" t="s">
        <v>14</v>
      </c>
      <c r="I305" s="1">
        <v>46086</v>
      </c>
      <c r="J305" t="s">
        <v>543</v>
      </c>
    </row>
    <row r="306" spans="1:10" x14ac:dyDescent="0.25">
      <c r="A306" s="3">
        <v>46086</v>
      </c>
      <c r="B306" s="5" t="s">
        <v>544</v>
      </c>
      <c r="C306" s="5" t="s">
        <v>544</v>
      </c>
      <c r="D306" s="5" t="s">
        <v>355</v>
      </c>
      <c r="E306" s="4" t="str">
        <f>"0097142806007"</f>
        <v>0097142806007</v>
      </c>
      <c r="F306" s="2" t="s">
        <v>12</v>
      </c>
      <c r="G306" s="2" t="s">
        <v>13</v>
      </c>
      <c r="H306" t="s">
        <v>14</v>
      </c>
      <c r="I306" s="1">
        <v>46086</v>
      </c>
      <c r="J306" t="s">
        <v>545</v>
      </c>
    </row>
    <row r="307" spans="1:10" x14ac:dyDescent="0.25">
      <c r="A307" s="3">
        <v>46086</v>
      </c>
      <c r="B307" s="5" t="s">
        <v>546</v>
      </c>
      <c r="C307" s="5" t="s">
        <v>546</v>
      </c>
      <c r="D307" s="5" t="s">
        <v>355</v>
      </c>
      <c r="E307" s="4" t="str">
        <f>"00971506455781"</f>
        <v>00971506455781</v>
      </c>
      <c r="F307" s="2" t="s">
        <v>12</v>
      </c>
      <c r="G307" s="2" t="s">
        <v>13</v>
      </c>
      <c r="H307" t="s">
        <v>14</v>
      </c>
      <c r="I307" s="1">
        <v>46086</v>
      </c>
      <c r="J307" t="s">
        <v>547</v>
      </c>
    </row>
    <row r="308" spans="1:10" x14ac:dyDescent="0.25">
      <c r="A308" s="3">
        <v>46086</v>
      </c>
      <c r="B308" s="5" t="s">
        <v>548</v>
      </c>
      <c r="C308" s="5" t="s">
        <v>548</v>
      </c>
      <c r="D308" s="5" t="s">
        <v>355</v>
      </c>
      <c r="E308" s="4" t="str">
        <f>"00971569987544"</f>
        <v>00971569987544</v>
      </c>
      <c r="F308" s="2" t="s">
        <v>12</v>
      </c>
      <c r="G308" s="2" t="s">
        <v>13</v>
      </c>
      <c r="H308" t="s">
        <v>14</v>
      </c>
      <c r="I308" s="1">
        <v>46086</v>
      </c>
      <c r="J308" t="s">
        <v>549</v>
      </c>
    </row>
    <row r="309" spans="1:10" x14ac:dyDescent="0.25">
      <c r="A309" s="3">
        <v>46086</v>
      </c>
      <c r="B309" s="5" t="s">
        <v>548</v>
      </c>
      <c r="C309" s="5" t="s">
        <v>548</v>
      </c>
      <c r="D309" s="5" t="s">
        <v>355</v>
      </c>
      <c r="E309" s="4" t="str">
        <f>"00971586787499"</f>
        <v>00971586787499</v>
      </c>
      <c r="F309" s="2" t="s">
        <v>12</v>
      </c>
      <c r="G309" s="2" t="s">
        <v>13</v>
      </c>
      <c r="H309" t="s">
        <v>14</v>
      </c>
      <c r="I309" s="1">
        <v>46086</v>
      </c>
      <c r="J309" t="s">
        <v>549</v>
      </c>
    </row>
    <row r="310" spans="1:10" x14ac:dyDescent="0.25">
      <c r="A310" s="3">
        <v>46086</v>
      </c>
      <c r="B310" s="5" t="s">
        <v>550</v>
      </c>
      <c r="C310" s="5" t="s">
        <v>550</v>
      </c>
      <c r="D310" s="5" t="s">
        <v>355</v>
      </c>
      <c r="E310" s="4" t="str">
        <f>"0097142283830"</f>
        <v>0097142283830</v>
      </c>
      <c r="F310" s="2" t="s">
        <v>12</v>
      </c>
      <c r="G310" s="2" t="s">
        <v>13</v>
      </c>
      <c r="H310" t="s">
        <v>14</v>
      </c>
      <c r="I310" s="1">
        <v>46086</v>
      </c>
      <c r="J310" t="s">
        <v>551</v>
      </c>
    </row>
    <row r="311" spans="1:10" x14ac:dyDescent="0.25">
      <c r="A311" s="3">
        <v>46086</v>
      </c>
      <c r="B311" s="5" t="s">
        <v>552</v>
      </c>
      <c r="C311" s="5" t="s">
        <v>552</v>
      </c>
      <c r="D311" s="5" t="s">
        <v>355</v>
      </c>
      <c r="E311" s="4" t="str">
        <f>"0097142653158"</f>
        <v>0097142653158</v>
      </c>
      <c r="F311" s="2" t="s">
        <v>12</v>
      </c>
      <c r="G311" s="2" t="s">
        <v>13</v>
      </c>
      <c r="H311" t="s">
        <v>14</v>
      </c>
      <c r="I311" s="1">
        <v>46086</v>
      </c>
      <c r="J311" t="s">
        <v>553</v>
      </c>
    </row>
    <row r="312" spans="1:10" x14ac:dyDescent="0.25">
      <c r="A312" s="3">
        <v>46086</v>
      </c>
      <c r="B312" s="5" t="s">
        <v>554</v>
      </c>
      <c r="C312" s="5" t="s">
        <v>554</v>
      </c>
      <c r="D312" s="5" t="s">
        <v>355</v>
      </c>
      <c r="E312" s="4" t="str">
        <f>"00971558813941"</f>
        <v>00971558813941</v>
      </c>
      <c r="F312" s="2" t="s">
        <v>12</v>
      </c>
      <c r="G312" s="2" t="s">
        <v>13</v>
      </c>
      <c r="H312" t="s">
        <v>14</v>
      </c>
      <c r="I312" s="1">
        <v>46086</v>
      </c>
      <c r="J312" t="s">
        <v>555</v>
      </c>
    </row>
    <row r="313" spans="1:10" x14ac:dyDescent="0.25">
      <c r="A313" s="3">
        <v>46086</v>
      </c>
      <c r="B313" s="5" t="s">
        <v>556</v>
      </c>
      <c r="C313" s="5" t="s">
        <v>556</v>
      </c>
      <c r="D313" s="5" t="s">
        <v>355</v>
      </c>
      <c r="E313" s="4" t="str">
        <f>"0097142726793"</f>
        <v>0097142726793</v>
      </c>
      <c r="F313" s="2" t="s">
        <v>12</v>
      </c>
      <c r="G313" s="2" t="s">
        <v>13</v>
      </c>
      <c r="H313" t="s">
        <v>14</v>
      </c>
      <c r="I313" s="1">
        <v>46086</v>
      </c>
      <c r="J313" t="s">
        <v>557</v>
      </c>
    </row>
    <row r="314" spans="1:10" x14ac:dyDescent="0.25">
      <c r="A314" s="3">
        <v>46086</v>
      </c>
      <c r="B314" s="5" t="s">
        <v>556</v>
      </c>
      <c r="C314" s="5" t="s">
        <v>556</v>
      </c>
      <c r="D314" s="5" t="s">
        <v>355</v>
      </c>
      <c r="E314" s="4" t="str">
        <f>"00971557545125"</f>
        <v>00971557545125</v>
      </c>
      <c r="F314" s="2" t="s">
        <v>12</v>
      </c>
      <c r="G314" s="2" t="s">
        <v>13</v>
      </c>
      <c r="H314" t="s">
        <v>14</v>
      </c>
      <c r="I314" s="1">
        <v>46086</v>
      </c>
      <c r="J314" t="s">
        <v>558</v>
      </c>
    </row>
    <row r="315" spans="1:10" x14ac:dyDescent="0.25">
      <c r="A315" s="3">
        <v>46086</v>
      </c>
      <c r="B315" s="5" t="s">
        <v>559</v>
      </c>
      <c r="C315" s="5" t="s">
        <v>559</v>
      </c>
      <c r="D315" s="5" t="s">
        <v>355</v>
      </c>
      <c r="E315" s="4" t="str">
        <f>"00971553673376"</f>
        <v>00971553673376</v>
      </c>
      <c r="F315" s="2" t="s">
        <v>12</v>
      </c>
      <c r="G315" s="2" t="s">
        <v>13</v>
      </c>
      <c r="H315" t="s">
        <v>14</v>
      </c>
      <c r="I315" s="1">
        <v>46086</v>
      </c>
      <c r="J315" t="s">
        <v>560</v>
      </c>
    </row>
    <row r="316" spans="1:10" x14ac:dyDescent="0.25">
      <c r="A316" s="3">
        <v>46086</v>
      </c>
      <c r="B316" s="5" t="s">
        <v>561</v>
      </c>
      <c r="C316" s="5" t="s">
        <v>561</v>
      </c>
      <c r="D316" s="5" t="s">
        <v>355</v>
      </c>
      <c r="E316" s="4" t="str">
        <f>"00971506522208"</f>
        <v>00971506522208</v>
      </c>
      <c r="F316" s="2" t="s">
        <v>12</v>
      </c>
      <c r="G316" s="2" t="s">
        <v>13</v>
      </c>
      <c r="H316" t="s">
        <v>14</v>
      </c>
      <c r="I316" s="1">
        <v>46086</v>
      </c>
      <c r="J316" t="s">
        <v>562</v>
      </c>
    </row>
    <row r="317" spans="1:10" x14ac:dyDescent="0.25">
      <c r="A317" s="3">
        <v>46086</v>
      </c>
      <c r="B317" s="5" t="s">
        <v>563</v>
      </c>
      <c r="C317" s="5" t="s">
        <v>563</v>
      </c>
      <c r="D317" s="5" t="s">
        <v>355</v>
      </c>
      <c r="E317" s="4" t="str">
        <f>"00971563671188"</f>
        <v>00971563671188</v>
      </c>
      <c r="F317" s="2" t="s">
        <v>12</v>
      </c>
      <c r="G317" s="2" t="s">
        <v>13</v>
      </c>
      <c r="H317" t="s">
        <v>14</v>
      </c>
      <c r="I317" s="1">
        <v>46086</v>
      </c>
      <c r="J317" t="s">
        <v>564</v>
      </c>
    </row>
    <row r="318" spans="1:10" x14ac:dyDescent="0.25">
      <c r="A318" s="3">
        <v>46086</v>
      </c>
      <c r="B318" s="5" t="s">
        <v>565</v>
      </c>
      <c r="C318" s="5" t="s">
        <v>565</v>
      </c>
      <c r="D318" s="5" t="s">
        <v>355</v>
      </c>
      <c r="E318" s="4" t="str">
        <f>"0097142650772"</f>
        <v>0097142650772</v>
      </c>
      <c r="F318" s="2" t="s">
        <v>12</v>
      </c>
      <c r="G318" s="2" t="s">
        <v>13</v>
      </c>
      <c r="H318" t="s">
        <v>14</v>
      </c>
      <c r="I318" s="1">
        <v>46086</v>
      </c>
      <c r="J318" t="s">
        <v>566</v>
      </c>
    </row>
    <row r="319" spans="1:10" x14ac:dyDescent="0.25">
      <c r="A319" s="3">
        <v>46086</v>
      </c>
      <c r="B319" s="5" t="s">
        <v>567</v>
      </c>
      <c r="C319" s="5" t="s">
        <v>567</v>
      </c>
      <c r="D319" s="5" t="s">
        <v>355</v>
      </c>
      <c r="E319" s="4" t="str">
        <f>"0097142508888"</f>
        <v>0097142508888</v>
      </c>
      <c r="F319" s="2" t="s">
        <v>12</v>
      </c>
      <c r="G319" s="2" t="s">
        <v>13</v>
      </c>
      <c r="H319" t="s">
        <v>14</v>
      </c>
      <c r="I319" s="1">
        <v>46086</v>
      </c>
      <c r="J319" t="s">
        <v>568</v>
      </c>
    </row>
    <row r="320" spans="1:10" x14ac:dyDescent="0.25">
      <c r="A320" s="3">
        <v>46086</v>
      </c>
      <c r="B320" s="5" t="s">
        <v>569</v>
      </c>
      <c r="C320" s="5" t="s">
        <v>569</v>
      </c>
      <c r="D320" s="5" t="s">
        <v>355</v>
      </c>
      <c r="E320" s="4" t="str">
        <f>"0097143331114"</f>
        <v>0097143331114</v>
      </c>
      <c r="F320" s="2" t="s">
        <v>12</v>
      </c>
      <c r="G320" s="2" t="s">
        <v>13</v>
      </c>
      <c r="H320" t="s">
        <v>14</v>
      </c>
      <c r="I320" s="1">
        <v>46086</v>
      </c>
      <c r="J320" t="s">
        <v>570</v>
      </c>
    </row>
    <row r="321" spans="1:10" x14ac:dyDescent="0.25">
      <c r="A321" s="3">
        <v>46086</v>
      </c>
      <c r="B321" s="5" t="s">
        <v>571</v>
      </c>
      <c r="C321" s="5" t="s">
        <v>571</v>
      </c>
      <c r="D321" s="5" t="s">
        <v>355</v>
      </c>
      <c r="E321" s="4" t="str">
        <f>"0097142722755"</f>
        <v>0097142722755</v>
      </c>
      <c r="F321" s="2" t="s">
        <v>12</v>
      </c>
      <c r="G321" s="2" t="s">
        <v>13</v>
      </c>
      <c r="H321" t="s">
        <v>14</v>
      </c>
      <c r="I321" s="1">
        <v>46086</v>
      </c>
      <c r="J321" t="s">
        <v>572</v>
      </c>
    </row>
    <row r="322" spans="1:10" x14ac:dyDescent="0.25">
      <c r="A322" s="3">
        <v>46086</v>
      </c>
      <c r="B322" s="5" t="s">
        <v>573</v>
      </c>
      <c r="C322" s="5" t="s">
        <v>573</v>
      </c>
      <c r="D322" s="5" t="s">
        <v>355</v>
      </c>
      <c r="E322" s="4" t="str">
        <f>"0097144224116"</f>
        <v>0097144224116</v>
      </c>
      <c r="F322" s="2" t="s">
        <v>12</v>
      </c>
      <c r="G322" s="2" t="s">
        <v>13</v>
      </c>
      <c r="H322" t="s">
        <v>14</v>
      </c>
      <c r="I322" s="1">
        <v>46086</v>
      </c>
      <c r="J322" t="s">
        <v>574</v>
      </c>
    </row>
    <row r="323" spans="1:10" x14ac:dyDescent="0.25">
      <c r="A323" s="3">
        <v>46086</v>
      </c>
      <c r="B323" s="5" t="s">
        <v>575</v>
      </c>
      <c r="C323" s="5" t="s">
        <v>575</v>
      </c>
      <c r="D323" s="5" t="s">
        <v>355</v>
      </c>
      <c r="E323" s="4" t="str">
        <f>"0097143205777"</f>
        <v>0097143205777</v>
      </c>
      <c r="F323" s="2" t="s">
        <v>12</v>
      </c>
      <c r="G323" s="2" t="s">
        <v>13</v>
      </c>
      <c r="H323" t="s">
        <v>14</v>
      </c>
      <c r="I323" s="1">
        <v>46086</v>
      </c>
      <c r="J323" t="s">
        <v>576</v>
      </c>
    </row>
    <row r="324" spans="1:10" x14ac:dyDescent="0.25">
      <c r="A324" s="3">
        <v>46086</v>
      </c>
      <c r="B324" s="5" t="s">
        <v>575</v>
      </c>
      <c r="C324" s="5" t="s">
        <v>575</v>
      </c>
      <c r="D324" s="5" t="s">
        <v>355</v>
      </c>
      <c r="E324" s="4" t="str">
        <f>"00971585187727"</f>
        <v>00971585187727</v>
      </c>
      <c r="F324" s="2" t="s">
        <v>12</v>
      </c>
      <c r="G324" s="2" t="s">
        <v>13</v>
      </c>
      <c r="H324" t="s">
        <v>14</v>
      </c>
      <c r="I324" s="1">
        <v>46086</v>
      </c>
      <c r="J324" t="s">
        <v>577</v>
      </c>
    </row>
    <row r="325" spans="1:10" x14ac:dyDescent="0.25">
      <c r="A325" s="3">
        <v>46086</v>
      </c>
      <c r="B325" s="5" t="s">
        <v>578</v>
      </c>
      <c r="C325" s="5" t="s">
        <v>578</v>
      </c>
      <c r="D325" s="5" t="s">
        <v>355</v>
      </c>
      <c r="E325" s="4" t="str">
        <f>"0097142648513"</f>
        <v>0097142648513</v>
      </c>
      <c r="F325" s="2" t="s">
        <v>12</v>
      </c>
      <c r="G325" s="2" t="s">
        <v>13</v>
      </c>
      <c r="H325" t="s">
        <v>14</v>
      </c>
      <c r="I325" s="1">
        <v>46086</v>
      </c>
      <c r="J325" t="s">
        <v>579</v>
      </c>
    </row>
    <row r="326" spans="1:10" x14ac:dyDescent="0.25">
      <c r="A326" s="3">
        <v>46086</v>
      </c>
      <c r="B326" s="5" t="s">
        <v>580</v>
      </c>
      <c r="C326" s="5" t="s">
        <v>580</v>
      </c>
      <c r="D326" s="5" t="s">
        <v>355</v>
      </c>
      <c r="E326" s="4" t="str">
        <f>"0097143516357"</f>
        <v>0097143516357</v>
      </c>
      <c r="F326" s="2" t="s">
        <v>12</v>
      </c>
      <c r="G326" s="2" t="s">
        <v>13</v>
      </c>
      <c r="H326" t="s">
        <v>14</v>
      </c>
      <c r="I326" s="1">
        <v>46086</v>
      </c>
      <c r="J326" t="s">
        <v>581</v>
      </c>
    </row>
    <row r="327" spans="1:10" x14ac:dyDescent="0.25">
      <c r="A327" s="3">
        <v>46086</v>
      </c>
      <c r="B327" s="5" t="s">
        <v>582</v>
      </c>
      <c r="C327" s="5" t="s">
        <v>582</v>
      </c>
      <c r="D327" s="5" t="s">
        <v>355</v>
      </c>
      <c r="E327" s="4" t="str">
        <f>"0097142502575"</f>
        <v>0097142502575</v>
      </c>
      <c r="F327" s="2" t="s">
        <v>12</v>
      </c>
      <c r="G327" s="2" t="s">
        <v>13</v>
      </c>
      <c r="H327" t="s">
        <v>14</v>
      </c>
      <c r="I327" s="1">
        <v>46086</v>
      </c>
      <c r="J327" t="s">
        <v>583</v>
      </c>
    </row>
    <row r="328" spans="1:10" x14ac:dyDescent="0.25">
      <c r="A328" s="3">
        <v>46086</v>
      </c>
      <c r="B328" s="5" t="s">
        <v>584</v>
      </c>
      <c r="C328" s="5" t="s">
        <v>584</v>
      </c>
      <c r="D328" s="5" t="s">
        <v>355</v>
      </c>
      <c r="E328" s="4" t="str">
        <f>"0097144495427"</f>
        <v>0097144495427</v>
      </c>
      <c r="F328" s="2" t="s">
        <v>12</v>
      </c>
      <c r="G328" s="2" t="s">
        <v>13</v>
      </c>
      <c r="H328" t="s">
        <v>14</v>
      </c>
      <c r="I328" s="1">
        <v>46086</v>
      </c>
      <c r="J328" t="s">
        <v>585</v>
      </c>
    </row>
    <row r="329" spans="1:10" x14ac:dyDescent="0.25">
      <c r="A329" s="3">
        <v>46086</v>
      </c>
      <c r="B329" s="5" t="s">
        <v>586</v>
      </c>
      <c r="C329" s="5" t="s">
        <v>586</v>
      </c>
      <c r="D329" s="5" t="s">
        <v>355</v>
      </c>
      <c r="E329" s="4" t="str">
        <f>"0097142327747"</f>
        <v>0097142327747</v>
      </c>
      <c r="F329" s="2" t="s">
        <v>12</v>
      </c>
      <c r="G329" s="2" t="s">
        <v>13</v>
      </c>
      <c r="H329" t="s">
        <v>14</v>
      </c>
      <c r="I329" s="1">
        <v>46086</v>
      </c>
      <c r="J329" t="s">
        <v>587</v>
      </c>
    </row>
    <row r="330" spans="1:10" x14ac:dyDescent="0.25">
      <c r="A330" s="3">
        <v>46086</v>
      </c>
      <c r="B330" s="5" t="s">
        <v>588</v>
      </c>
      <c r="C330" s="5" t="s">
        <v>588</v>
      </c>
      <c r="D330" s="5" t="s">
        <v>355</v>
      </c>
      <c r="E330" s="4" t="str">
        <f>"00971543595923"</f>
        <v>00971543595923</v>
      </c>
      <c r="F330" s="2" t="s">
        <v>12</v>
      </c>
      <c r="G330" s="2" t="s">
        <v>13</v>
      </c>
      <c r="H330" t="s">
        <v>14</v>
      </c>
      <c r="I330" s="1">
        <v>46086</v>
      </c>
      <c r="J330" t="s">
        <v>589</v>
      </c>
    </row>
    <row r="331" spans="1:10" x14ac:dyDescent="0.25">
      <c r="A331" s="3">
        <v>46086</v>
      </c>
      <c r="B331" s="5" t="s">
        <v>590</v>
      </c>
      <c r="C331" s="5" t="s">
        <v>590</v>
      </c>
      <c r="D331" s="5" t="s">
        <v>355</v>
      </c>
      <c r="E331" s="4" t="str">
        <f>"00971521548065"</f>
        <v>00971521548065</v>
      </c>
      <c r="F331" s="2" t="s">
        <v>12</v>
      </c>
      <c r="G331" s="2" t="s">
        <v>13</v>
      </c>
      <c r="H331" t="s">
        <v>14</v>
      </c>
      <c r="I331" s="1">
        <v>46086</v>
      </c>
      <c r="J331" t="s">
        <v>591</v>
      </c>
    </row>
    <row r="332" spans="1:10" x14ac:dyDescent="0.25">
      <c r="A332" s="3">
        <v>46086</v>
      </c>
      <c r="B332" s="5" t="s">
        <v>592</v>
      </c>
      <c r="C332" s="5" t="s">
        <v>592</v>
      </c>
      <c r="D332" s="5" t="s">
        <v>355</v>
      </c>
      <c r="E332" s="4" t="str">
        <f>"0097142851211"</f>
        <v>0097142851211</v>
      </c>
      <c r="F332" s="2" t="s">
        <v>12</v>
      </c>
      <c r="G332" s="2" t="s">
        <v>13</v>
      </c>
      <c r="H332" t="s">
        <v>14</v>
      </c>
      <c r="I332" s="1">
        <v>46086</v>
      </c>
      <c r="J332" t="s">
        <v>593</v>
      </c>
    </row>
    <row r="333" spans="1:10" x14ac:dyDescent="0.25">
      <c r="A333" s="3">
        <v>46086</v>
      </c>
      <c r="B333" s="5" t="s">
        <v>592</v>
      </c>
      <c r="C333" s="5" t="s">
        <v>592</v>
      </c>
      <c r="D333" s="5" t="s">
        <v>355</v>
      </c>
      <c r="E333" s="4" t="str">
        <f>"00971522418321"</f>
        <v>00971522418321</v>
      </c>
      <c r="F333" s="2" t="s">
        <v>12</v>
      </c>
      <c r="G333" s="2" t="s">
        <v>13</v>
      </c>
      <c r="H333" t="s">
        <v>14</v>
      </c>
      <c r="I333" s="1">
        <v>46086</v>
      </c>
      <c r="J333" t="s">
        <v>594</v>
      </c>
    </row>
    <row r="334" spans="1:10" x14ac:dyDescent="0.25">
      <c r="A334" s="3">
        <v>46086</v>
      </c>
      <c r="B334" s="5" t="s">
        <v>595</v>
      </c>
      <c r="C334" s="5" t="s">
        <v>595</v>
      </c>
      <c r="D334" s="5" t="s">
        <v>355</v>
      </c>
      <c r="E334" s="4" t="str">
        <f>"0097143365370"</f>
        <v>0097143365370</v>
      </c>
      <c r="F334" s="2" t="s">
        <v>12</v>
      </c>
      <c r="G334" s="2" t="s">
        <v>13</v>
      </c>
      <c r="H334" t="s">
        <v>14</v>
      </c>
      <c r="I334" s="1">
        <v>46086</v>
      </c>
      <c r="J334" t="s">
        <v>596</v>
      </c>
    </row>
    <row r="335" spans="1:10" x14ac:dyDescent="0.25">
      <c r="A335" s="3">
        <v>46086</v>
      </c>
      <c r="B335" s="5" t="s">
        <v>595</v>
      </c>
      <c r="C335" s="5" t="s">
        <v>595</v>
      </c>
      <c r="D335" s="5" t="s">
        <v>355</v>
      </c>
      <c r="E335" s="4" t="str">
        <f>"00971526060785"</f>
        <v>00971526060785</v>
      </c>
      <c r="F335" s="2" t="s">
        <v>12</v>
      </c>
      <c r="G335" s="2" t="s">
        <v>13</v>
      </c>
      <c r="H335" t="s">
        <v>14</v>
      </c>
      <c r="I335" s="1">
        <v>46086</v>
      </c>
      <c r="J335" t="s">
        <v>597</v>
      </c>
    </row>
    <row r="336" spans="1:10" x14ac:dyDescent="0.25">
      <c r="A336" s="3">
        <v>46086</v>
      </c>
      <c r="B336" s="5" t="s">
        <v>598</v>
      </c>
      <c r="C336" s="5" t="s">
        <v>598</v>
      </c>
      <c r="D336" s="5" t="s">
        <v>355</v>
      </c>
      <c r="E336" s="4" t="str">
        <f>"00971432529668"</f>
        <v>00971432529668</v>
      </c>
      <c r="F336" s="2" t="s">
        <v>12</v>
      </c>
      <c r="G336" s="2" t="s">
        <v>13</v>
      </c>
      <c r="H336" t="s">
        <v>14</v>
      </c>
      <c r="I336" s="1">
        <v>46086</v>
      </c>
      <c r="J336" t="s">
        <v>599</v>
      </c>
    </row>
    <row r="337" spans="1:10" x14ac:dyDescent="0.25">
      <c r="A337" s="3">
        <v>46086</v>
      </c>
      <c r="B337" s="5" t="s">
        <v>598</v>
      </c>
      <c r="C337" s="5" t="s">
        <v>598</v>
      </c>
      <c r="D337" s="5" t="s">
        <v>355</v>
      </c>
      <c r="E337" s="4" t="str">
        <f>"00971553805148"</f>
        <v>00971553805148</v>
      </c>
      <c r="F337" s="2" t="s">
        <v>12</v>
      </c>
      <c r="G337" s="2" t="s">
        <v>13</v>
      </c>
      <c r="H337" t="s">
        <v>14</v>
      </c>
      <c r="I337" s="1">
        <v>46086</v>
      </c>
      <c r="J337" t="s">
        <v>600</v>
      </c>
    </row>
    <row r="338" spans="1:10" x14ac:dyDescent="0.25">
      <c r="A338" s="3">
        <v>46086</v>
      </c>
      <c r="B338" s="5" t="s">
        <v>601</v>
      </c>
      <c r="C338" s="5" t="s">
        <v>601</v>
      </c>
      <c r="D338" s="5" t="s">
        <v>355</v>
      </c>
      <c r="E338" s="4" t="str">
        <f>"0097180074992"</f>
        <v>0097180074992</v>
      </c>
      <c r="F338" s="2" t="s">
        <v>12</v>
      </c>
      <c r="G338" s="2" t="s">
        <v>13</v>
      </c>
      <c r="H338" t="s">
        <v>14</v>
      </c>
      <c r="I338" s="1">
        <v>46086</v>
      </c>
      <c r="J338" t="s">
        <v>602</v>
      </c>
    </row>
    <row r="339" spans="1:10" x14ac:dyDescent="0.25">
      <c r="A339" s="3">
        <v>46086</v>
      </c>
      <c r="B339" s="5" t="s">
        <v>603</v>
      </c>
      <c r="C339" s="5" t="s">
        <v>603</v>
      </c>
      <c r="D339" s="5" t="s">
        <v>355</v>
      </c>
      <c r="E339" s="4" t="str">
        <f>"0097143880800"</f>
        <v>0097143880800</v>
      </c>
      <c r="F339" s="2" t="s">
        <v>12</v>
      </c>
      <c r="G339" s="2" t="s">
        <v>13</v>
      </c>
      <c r="H339" t="s">
        <v>14</v>
      </c>
      <c r="I339" s="1">
        <v>46086</v>
      </c>
      <c r="J339" t="s">
        <v>604</v>
      </c>
    </row>
    <row r="340" spans="1:10" x14ac:dyDescent="0.25">
      <c r="A340" s="3">
        <v>46086</v>
      </c>
      <c r="B340" s="5" t="s">
        <v>603</v>
      </c>
      <c r="C340" s="5" t="s">
        <v>603</v>
      </c>
      <c r="D340" s="5" t="s">
        <v>355</v>
      </c>
      <c r="E340" s="4" t="str">
        <f>"00971800824567"</f>
        <v>00971800824567</v>
      </c>
      <c r="F340" s="2" t="s">
        <v>12</v>
      </c>
      <c r="G340" s="2" t="s">
        <v>13</v>
      </c>
      <c r="H340" t="s">
        <v>14</v>
      </c>
      <c r="I340" s="1">
        <v>46086</v>
      </c>
      <c r="J340" t="s">
        <v>604</v>
      </c>
    </row>
    <row r="341" spans="1:10" x14ac:dyDescent="0.25">
      <c r="A341" s="3">
        <v>46086</v>
      </c>
      <c r="B341" s="5" t="s">
        <v>605</v>
      </c>
      <c r="C341" s="5" t="s">
        <v>605</v>
      </c>
      <c r="D341" s="5" t="s">
        <v>355</v>
      </c>
      <c r="E341" s="4" t="str">
        <f>"0097143659959"</f>
        <v>0097143659959</v>
      </c>
      <c r="F341" s="2" t="s">
        <v>12</v>
      </c>
      <c r="G341" s="2" t="s">
        <v>13</v>
      </c>
      <c r="H341" t="s">
        <v>14</v>
      </c>
      <c r="I341" s="1">
        <v>46086</v>
      </c>
      <c r="J341" t="s">
        <v>606</v>
      </c>
    </row>
    <row r="342" spans="1:10" x14ac:dyDescent="0.25">
      <c r="A342" s="3">
        <v>46086</v>
      </c>
      <c r="B342" s="5" t="s">
        <v>607</v>
      </c>
      <c r="C342" s="5" t="s">
        <v>607</v>
      </c>
      <c r="D342" s="5" t="s">
        <v>355</v>
      </c>
      <c r="E342" s="4" t="str">
        <f>"00971585427897"</f>
        <v>00971585427897</v>
      </c>
      <c r="F342" s="2" t="s">
        <v>12</v>
      </c>
      <c r="G342" s="2" t="s">
        <v>13</v>
      </c>
      <c r="H342" t="s">
        <v>14</v>
      </c>
      <c r="I342" s="1">
        <v>46086</v>
      </c>
      <c r="J342" t="s">
        <v>608</v>
      </c>
    </row>
    <row r="343" spans="1:10" x14ac:dyDescent="0.25">
      <c r="A343" s="3">
        <v>46086</v>
      </c>
      <c r="B343" s="5" t="s">
        <v>609</v>
      </c>
      <c r="C343" s="5" t="s">
        <v>609</v>
      </c>
      <c r="D343" s="5" t="s">
        <v>355</v>
      </c>
      <c r="E343" s="4" t="str">
        <f>"00971501809327"</f>
        <v>00971501809327</v>
      </c>
      <c r="F343" s="2" t="s">
        <v>12</v>
      </c>
      <c r="G343" s="2" t="s">
        <v>13</v>
      </c>
      <c r="H343" t="s">
        <v>14</v>
      </c>
      <c r="I343" s="1">
        <v>46086</v>
      </c>
      <c r="J343" t="s">
        <v>610</v>
      </c>
    </row>
    <row r="344" spans="1:10" x14ac:dyDescent="0.25">
      <c r="A344" s="3">
        <v>46086</v>
      </c>
      <c r="B344" s="5" t="s">
        <v>611</v>
      </c>
      <c r="C344" s="5" t="s">
        <v>611</v>
      </c>
      <c r="D344" s="5" t="s">
        <v>355</v>
      </c>
      <c r="E344" s="4" t="str">
        <f>"0097142614147"</f>
        <v>0097142614147</v>
      </c>
      <c r="F344" s="2" t="s">
        <v>12</v>
      </c>
      <c r="G344" s="2" t="s">
        <v>13</v>
      </c>
      <c r="H344" t="s">
        <v>14</v>
      </c>
      <c r="I344" s="1">
        <v>46086</v>
      </c>
      <c r="J344" t="s">
        <v>612</v>
      </c>
    </row>
    <row r="345" spans="1:10" x14ac:dyDescent="0.25">
      <c r="A345" s="3">
        <v>46086</v>
      </c>
      <c r="B345" s="5" t="s">
        <v>613</v>
      </c>
      <c r="C345" s="5" t="s">
        <v>613</v>
      </c>
      <c r="D345" s="5" t="s">
        <v>355</v>
      </c>
      <c r="E345" s="4" t="str">
        <f>"0097143415888"</f>
        <v>0097143415888</v>
      </c>
      <c r="F345" s="2" t="s">
        <v>12</v>
      </c>
      <c r="G345" s="2" t="s">
        <v>13</v>
      </c>
      <c r="H345" t="s">
        <v>14</v>
      </c>
      <c r="I345" s="1">
        <v>46086</v>
      </c>
      <c r="J345" t="s">
        <v>614</v>
      </c>
    </row>
    <row r="346" spans="1:10" x14ac:dyDescent="0.25">
      <c r="A346" s="3">
        <v>46086</v>
      </c>
      <c r="B346" s="5" t="s">
        <v>615</v>
      </c>
      <c r="C346" s="5" t="s">
        <v>615</v>
      </c>
      <c r="D346" s="5" t="s">
        <v>355</v>
      </c>
      <c r="E346" s="4" t="str">
        <f>"0097143595535"</f>
        <v>0097143595535</v>
      </c>
      <c r="F346" s="2" t="s">
        <v>12</v>
      </c>
      <c r="G346" s="2" t="s">
        <v>13</v>
      </c>
      <c r="H346" t="s">
        <v>14</v>
      </c>
      <c r="I346" s="1">
        <v>46086</v>
      </c>
      <c r="J346" t="s">
        <v>616</v>
      </c>
    </row>
    <row r="347" spans="1:10" x14ac:dyDescent="0.25">
      <c r="A347" s="3">
        <v>46086</v>
      </c>
      <c r="B347" s="5" t="s">
        <v>617</v>
      </c>
      <c r="C347" s="5" t="s">
        <v>617</v>
      </c>
      <c r="D347" s="5" t="s">
        <v>355</v>
      </c>
      <c r="E347" s="4" t="str">
        <f>"0097143307878"</f>
        <v>0097143307878</v>
      </c>
      <c r="F347" s="2" t="s">
        <v>12</v>
      </c>
      <c r="G347" s="2" t="s">
        <v>13</v>
      </c>
      <c r="H347" t="s">
        <v>14</v>
      </c>
      <c r="I347" s="1">
        <v>46086</v>
      </c>
      <c r="J347" t="s">
        <v>618</v>
      </c>
    </row>
    <row r="348" spans="1:10" x14ac:dyDescent="0.25">
      <c r="A348" s="3">
        <v>46086</v>
      </c>
      <c r="B348" s="5" t="s">
        <v>619</v>
      </c>
      <c r="C348" s="5" t="s">
        <v>619</v>
      </c>
      <c r="D348" s="5" t="s">
        <v>355</v>
      </c>
      <c r="E348" s="4" t="str">
        <f>"0097142677747"</f>
        <v>0097142677747</v>
      </c>
      <c r="F348" s="2" t="s">
        <v>12</v>
      </c>
      <c r="G348" s="2" t="s">
        <v>13</v>
      </c>
      <c r="H348" t="s">
        <v>14</v>
      </c>
      <c r="I348" s="1">
        <v>46086</v>
      </c>
      <c r="J348" t="s">
        <v>620</v>
      </c>
    </row>
    <row r="349" spans="1:10" x14ac:dyDescent="0.25">
      <c r="A349" s="3">
        <v>46086</v>
      </c>
      <c r="B349" s="5" t="s">
        <v>621</v>
      </c>
      <c r="C349" s="5" t="s">
        <v>621</v>
      </c>
      <c r="D349" s="5" t="s">
        <v>355</v>
      </c>
      <c r="E349" s="4" t="str">
        <f>"0097143575799"</f>
        <v>0097143575799</v>
      </c>
      <c r="F349" s="2" t="s">
        <v>12</v>
      </c>
      <c r="G349" s="2" t="s">
        <v>13</v>
      </c>
      <c r="H349" t="s">
        <v>14</v>
      </c>
      <c r="I349" s="1">
        <v>46086</v>
      </c>
      <c r="J349" t="s">
        <v>622</v>
      </c>
    </row>
    <row r="350" spans="1:10" x14ac:dyDescent="0.25">
      <c r="A350" s="3">
        <v>46086</v>
      </c>
      <c r="B350" s="5" t="s">
        <v>623</v>
      </c>
      <c r="C350" s="5" t="s">
        <v>623</v>
      </c>
      <c r="D350" s="5" t="s">
        <v>355</v>
      </c>
      <c r="E350" s="4" t="str">
        <f>"0097143977768"</f>
        <v>0097143977768</v>
      </c>
      <c r="F350" s="2" t="s">
        <v>12</v>
      </c>
      <c r="G350" s="2" t="s">
        <v>13</v>
      </c>
      <c r="H350" t="s">
        <v>14</v>
      </c>
      <c r="I350" s="1">
        <v>46086</v>
      </c>
      <c r="J350" t="s">
        <v>624</v>
      </c>
    </row>
    <row r="351" spans="1:10" x14ac:dyDescent="0.25">
      <c r="A351" s="3">
        <v>46086</v>
      </c>
      <c r="B351" s="5" t="s">
        <v>623</v>
      </c>
      <c r="C351" s="5" t="s">
        <v>623</v>
      </c>
      <c r="D351" s="5" t="s">
        <v>355</v>
      </c>
      <c r="E351" s="4" t="str">
        <f>"00971543357010"</f>
        <v>00971543357010</v>
      </c>
      <c r="F351" s="2" t="s">
        <v>12</v>
      </c>
      <c r="G351" s="2" t="s">
        <v>13</v>
      </c>
      <c r="H351" t="s">
        <v>14</v>
      </c>
      <c r="I351" s="1">
        <v>46086</v>
      </c>
      <c r="J351" t="s">
        <v>625</v>
      </c>
    </row>
    <row r="352" spans="1:10" x14ac:dyDescent="0.25">
      <c r="A352" s="3">
        <v>46086</v>
      </c>
      <c r="B352" s="5" t="s">
        <v>626</v>
      </c>
      <c r="C352" s="5" t="s">
        <v>626</v>
      </c>
      <c r="D352" s="5" t="s">
        <v>355</v>
      </c>
      <c r="E352" s="4" t="str">
        <f>"0097142690673"</f>
        <v>0097142690673</v>
      </c>
      <c r="F352" s="2" t="s">
        <v>12</v>
      </c>
      <c r="G352" s="2" t="s">
        <v>13</v>
      </c>
      <c r="H352" t="s">
        <v>14</v>
      </c>
      <c r="I352" s="1">
        <v>46086</v>
      </c>
      <c r="J352" t="s">
        <v>627</v>
      </c>
    </row>
    <row r="353" spans="1:10" x14ac:dyDescent="0.25">
      <c r="A353" s="3">
        <v>46086</v>
      </c>
      <c r="B353" s="5" t="s">
        <v>626</v>
      </c>
      <c r="C353" s="5" t="s">
        <v>626</v>
      </c>
      <c r="D353" s="5" t="s">
        <v>355</v>
      </c>
      <c r="E353" s="4" t="str">
        <f>"00971505302603"</f>
        <v>00971505302603</v>
      </c>
      <c r="F353" s="2" t="s">
        <v>12</v>
      </c>
      <c r="G353" s="2" t="s">
        <v>13</v>
      </c>
      <c r="H353" t="s">
        <v>14</v>
      </c>
      <c r="I353" s="1">
        <v>46086</v>
      </c>
      <c r="J353" t="s">
        <v>628</v>
      </c>
    </row>
    <row r="354" spans="1:10" x14ac:dyDescent="0.25">
      <c r="A354" s="3">
        <v>46086</v>
      </c>
      <c r="B354" s="5" t="s">
        <v>629</v>
      </c>
      <c r="C354" s="5" t="s">
        <v>629</v>
      </c>
      <c r="D354" s="5" t="s">
        <v>355</v>
      </c>
      <c r="E354" s="4" t="str">
        <f>"0097144477834"</f>
        <v>0097144477834</v>
      </c>
      <c r="F354" s="2" t="s">
        <v>12</v>
      </c>
      <c r="G354" s="2" t="s">
        <v>13</v>
      </c>
      <c r="H354" t="s">
        <v>14</v>
      </c>
      <c r="I354" s="1">
        <v>46086</v>
      </c>
      <c r="J354" t="s">
        <v>630</v>
      </c>
    </row>
    <row r="355" spans="1:10" x14ac:dyDescent="0.25">
      <c r="A355" s="3">
        <v>46086</v>
      </c>
      <c r="B355" s="5" t="s">
        <v>631</v>
      </c>
      <c r="C355" s="5" t="s">
        <v>631</v>
      </c>
      <c r="D355" s="5" t="s">
        <v>355</v>
      </c>
      <c r="E355" s="4" t="str">
        <f>"0097143884234"</f>
        <v>0097143884234</v>
      </c>
      <c r="F355" s="2" t="s">
        <v>12</v>
      </c>
      <c r="G355" s="2" t="s">
        <v>13</v>
      </c>
      <c r="H355" t="s">
        <v>14</v>
      </c>
      <c r="I355" s="1">
        <v>46086</v>
      </c>
      <c r="J355" t="s">
        <v>632</v>
      </c>
    </row>
    <row r="356" spans="1:10" x14ac:dyDescent="0.25">
      <c r="A356" s="3">
        <v>46086</v>
      </c>
      <c r="B356" s="5" t="s">
        <v>633</v>
      </c>
      <c r="C356" s="5" t="s">
        <v>633</v>
      </c>
      <c r="D356" s="5" t="s">
        <v>355</v>
      </c>
      <c r="E356" s="4" t="str">
        <f>"0097142820094"</f>
        <v>0097142820094</v>
      </c>
      <c r="F356" s="2" t="s">
        <v>12</v>
      </c>
      <c r="G356" s="2" t="s">
        <v>13</v>
      </c>
      <c r="H356" t="s">
        <v>14</v>
      </c>
      <c r="I356" s="1">
        <v>46086</v>
      </c>
      <c r="J356" t="s">
        <v>634</v>
      </c>
    </row>
    <row r="357" spans="1:10" x14ac:dyDescent="0.25">
      <c r="A357" s="3">
        <v>46086</v>
      </c>
      <c r="B357" s="5" t="s">
        <v>633</v>
      </c>
      <c r="C357" s="5" t="s">
        <v>633</v>
      </c>
      <c r="D357" s="5" t="s">
        <v>355</v>
      </c>
      <c r="E357" s="4" t="str">
        <f>"00971506562321"</f>
        <v>00971506562321</v>
      </c>
      <c r="F357" s="2" t="s">
        <v>12</v>
      </c>
      <c r="G357" s="2" t="s">
        <v>13</v>
      </c>
      <c r="H357" t="s">
        <v>14</v>
      </c>
      <c r="I357" s="1">
        <v>46086</v>
      </c>
      <c r="J357" t="s">
        <v>635</v>
      </c>
    </row>
    <row r="358" spans="1:10" x14ac:dyDescent="0.25">
      <c r="A358" s="3">
        <v>46086</v>
      </c>
      <c r="B358" s="5" t="s">
        <v>636</v>
      </c>
      <c r="C358" s="5" t="s">
        <v>636</v>
      </c>
      <c r="D358" s="5" t="s">
        <v>355</v>
      </c>
      <c r="E358" s="4" t="str">
        <f>"0097143964121"</f>
        <v>0097143964121</v>
      </c>
      <c r="F358" s="2" t="s">
        <v>12</v>
      </c>
      <c r="G358" s="2" t="s">
        <v>13</v>
      </c>
      <c r="H358" t="s">
        <v>14</v>
      </c>
      <c r="I358" s="1">
        <v>46086</v>
      </c>
      <c r="J358" t="s">
        <v>637</v>
      </c>
    </row>
    <row r="359" spans="1:10" x14ac:dyDescent="0.25">
      <c r="A359" s="3">
        <v>46086</v>
      </c>
      <c r="B359" s="5" t="s">
        <v>638</v>
      </c>
      <c r="C359" s="5" t="s">
        <v>638</v>
      </c>
      <c r="D359" s="5" t="s">
        <v>355</v>
      </c>
      <c r="E359" s="4" t="str">
        <f>"0097142564744"</f>
        <v>0097142564744</v>
      </c>
      <c r="F359" s="2" t="s">
        <v>12</v>
      </c>
      <c r="G359" s="2" t="s">
        <v>13</v>
      </c>
      <c r="H359" t="s">
        <v>14</v>
      </c>
      <c r="I359" s="1">
        <v>46086</v>
      </c>
      <c r="J359" t="s">
        <v>639</v>
      </c>
    </row>
    <row r="360" spans="1:10" x14ac:dyDescent="0.25">
      <c r="A360" s="3">
        <v>46086</v>
      </c>
      <c r="B360" s="5" t="s">
        <v>640</v>
      </c>
      <c r="C360" s="5" t="s">
        <v>640</v>
      </c>
      <c r="D360" s="5" t="s">
        <v>355</v>
      </c>
      <c r="E360" s="4" t="str">
        <f>"0097143475712"</f>
        <v>0097143475712</v>
      </c>
      <c r="F360" s="2" t="s">
        <v>12</v>
      </c>
      <c r="G360" s="2" t="s">
        <v>13</v>
      </c>
      <c r="H360" t="s">
        <v>14</v>
      </c>
      <c r="I360" s="1">
        <v>46086</v>
      </c>
      <c r="J360" t="s">
        <v>641</v>
      </c>
    </row>
    <row r="361" spans="1:10" x14ac:dyDescent="0.25">
      <c r="A361" s="3">
        <v>46086</v>
      </c>
      <c r="B361" s="5" t="s">
        <v>642</v>
      </c>
      <c r="C361" s="5" t="s">
        <v>642</v>
      </c>
      <c r="D361" s="5" t="s">
        <v>355</v>
      </c>
      <c r="E361" s="4" t="str">
        <f>"0097143233638"</f>
        <v>0097143233638</v>
      </c>
      <c r="F361" s="2" t="s">
        <v>12</v>
      </c>
      <c r="G361" s="2" t="s">
        <v>13</v>
      </c>
      <c r="H361" t="s">
        <v>14</v>
      </c>
      <c r="I361" s="1">
        <v>46086</v>
      </c>
      <c r="J361" t="s">
        <v>643</v>
      </c>
    </row>
    <row r="362" spans="1:10" x14ac:dyDescent="0.25">
      <c r="A362" s="3">
        <v>46086</v>
      </c>
      <c r="B362" s="5" t="s">
        <v>644</v>
      </c>
      <c r="C362" s="5" t="s">
        <v>644</v>
      </c>
      <c r="D362" s="5" t="s">
        <v>355</v>
      </c>
      <c r="E362" s="4" t="str">
        <f>"0097142670705"</f>
        <v>0097142670705</v>
      </c>
      <c r="F362" s="2" t="s">
        <v>12</v>
      </c>
      <c r="G362" s="2" t="s">
        <v>13</v>
      </c>
      <c r="H362" t="s">
        <v>14</v>
      </c>
      <c r="I362" s="1">
        <v>46086</v>
      </c>
      <c r="J362" t="s">
        <v>645</v>
      </c>
    </row>
    <row r="363" spans="1:10" x14ac:dyDescent="0.25">
      <c r="A363" s="3">
        <v>46086</v>
      </c>
      <c r="B363" s="5" t="s">
        <v>646</v>
      </c>
      <c r="C363" s="5" t="s">
        <v>646</v>
      </c>
      <c r="D363" s="5" t="s">
        <v>355</v>
      </c>
      <c r="E363" s="4" t="str">
        <f>"0097142635595"</f>
        <v>0097142635595</v>
      </c>
      <c r="F363" s="2" t="s">
        <v>12</v>
      </c>
      <c r="G363" s="2" t="s">
        <v>13</v>
      </c>
      <c r="H363" t="s">
        <v>14</v>
      </c>
      <c r="I363" s="1">
        <v>46086</v>
      </c>
      <c r="J363" t="s">
        <v>647</v>
      </c>
    </row>
    <row r="364" spans="1:10" x14ac:dyDescent="0.25">
      <c r="A364" s="3">
        <v>46086</v>
      </c>
      <c r="B364" s="5" t="s">
        <v>648</v>
      </c>
      <c r="C364" s="5" t="s">
        <v>648</v>
      </c>
      <c r="D364" s="5" t="s">
        <v>355</v>
      </c>
      <c r="E364" s="4" t="str">
        <f>"0097142669212"</f>
        <v>0097142669212</v>
      </c>
      <c r="F364" s="2" t="s">
        <v>12</v>
      </c>
      <c r="G364" s="2" t="s">
        <v>13</v>
      </c>
      <c r="H364" t="s">
        <v>14</v>
      </c>
      <c r="I364" s="1">
        <v>46086</v>
      </c>
      <c r="J364" t="s">
        <v>649</v>
      </c>
    </row>
    <row r="365" spans="1:10" x14ac:dyDescent="0.25">
      <c r="A365" s="3">
        <v>46086</v>
      </c>
      <c r="B365" s="5" t="s">
        <v>650</v>
      </c>
      <c r="C365" s="5" t="s">
        <v>650</v>
      </c>
      <c r="D365" s="5" t="s">
        <v>355</v>
      </c>
      <c r="E365" s="4" t="str">
        <f>"0097142578484"</f>
        <v>0097142578484</v>
      </c>
      <c r="F365" s="2" t="s">
        <v>12</v>
      </c>
      <c r="G365" s="2" t="s">
        <v>13</v>
      </c>
      <c r="H365" t="s">
        <v>14</v>
      </c>
      <c r="I365" s="1">
        <v>46086</v>
      </c>
      <c r="J365" t="s">
        <v>651</v>
      </c>
    </row>
    <row r="366" spans="1:10" x14ac:dyDescent="0.25">
      <c r="A366" s="3">
        <v>46086</v>
      </c>
      <c r="B366" s="5" t="s">
        <v>652</v>
      </c>
      <c r="C366" s="5" t="s">
        <v>652</v>
      </c>
      <c r="D366" s="5" t="s">
        <v>355</v>
      </c>
      <c r="E366" s="4" t="str">
        <f>"0097142634747"</f>
        <v>0097142634747</v>
      </c>
      <c r="F366" s="2" t="s">
        <v>12</v>
      </c>
      <c r="G366" s="2" t="s">
        <v>13</v>
      </c>
      <c r="H366" t="s">
        <v>14</v>
      </c>
      <c r="I366" s="1">
        <v>46086</v>
      </c>
      <c r="J366" t="s">
        <v>653</v>
      </c>
    </row>
    <row r="367" spans="1:10" x14ac:dyDescent="0.25">
      <c r="A367" s="3">
        <v>46086</v>
      </c>
      <c r="B367" s="5" t="s">
        <v>654</v>
      </c>
      <c r="C367" s="5" t="s">
        <v>654</v>
      </c>
      <c r="D367" s="5" t="s">
        <v>355</v>
      </c>
      <c r="E367" s="4" t="str">
        <f>"0097142858989"</f>
        <v>0097142858989</v>
      </c>
      <c r="F367" s="2" t="s">
        <v>12</v>
      </c>
      <c r="G367" s="2" t="s">
        <v>13</v>
      </c>
      <c r="H367" t="s">
        <v>14</v>
      </c>
      <c r="I367" s="1">
        <v>46086</v>
      </c>
      <c r="J367" t="s">
        <v>655</v>
      </c>
    </row>
    <row r="368" spans="1:10" x14ac:dyDescent="0.25">
      <c r="A368" s="3">
        <v>46086</v>
      </c>
      <c r="B368" s="5" t="s">
        <v>654</v>
      </c>
      <c r="C368" s="5" t="s">
        <v>654</v>
      </c>
      <c r="D368" s="5" t="s">
        <v>355</v>
      </c>
      <c r="E368" s="4" t="str">
        <f>"00971506248301"</f>
        <v>00971506248301</v>
      </c>
      <c r="F368" s="2" t="s">
        <v>12</v>
      </c>
      <c r="G368" s="2" t="s">
        <v>13</v>
      </c>
      <c r="H368" t="s">
        <v>14</v>
      </c>
      <c r="I368" s="1">
        <v>46086</v>
      </c>
      <c r="J368" t="s">
        <v>656</v>
      </c>
    </row>
    <row r="369" spans="1:10" x14ac:dyDescent="0.25">
      <c r="A369" s="3">
        <v>46086</v>
      </c>
      <c r="B369" s="5" t="s">
        <v>657</v>
      </c>
      <c r="C369" s="5" t="s">
        <v>657</v>
      </c>
      <c r="D369" s="5" t="s">
        <v>355</v>
      </c>
      <c r="E369" s="4" t="str">
        <f>"0097142211832"</f>
        <v>0097142211832</v>
      </c>
      <c r="F369" s="2" t="s">
        <v>12</v>
      </c>
      <c r="G369" s="2" t="s">
        <v>13</v>
      </c>
      <c r="H369" t="s">
        <v>14</v>
      </c>
      <c r="I369" s="1">
        <v>46086</v>
      </c>
      <c r="J369" t="s">
        <v>658</v>
      </c>
    </row>
    <row r="370" spans="1:10" x14ac:dyDescent="0.25">
      <c r="A370" s="3">
        <v>46086</v>
      </c>
      <c r="B370" s="5" t="s">
        <v>659</v>
      </c>
      <c r="C370" s="5" t="s">
        <v>659</v>
      </c>
      <c r="D370" s="5" t="s">
        <v>355</v>
      </c>
      <c r="E370" s="4" t="str">
        <f>"0097142233364"</f>
        <v>0097142233364</v>
      </c>
      <c r="F370" s="2" t="s">
        <v>12</v>
      </c>
      <c r="G370" s="2" t="s">
        <v>13</v>
      </c>
      <c r="H370" t="s">
        <v>14</v>
      </c>
      <c r="I370" s="1">
        <v>46086</v>
      </c>
      <c r="J370" t="s">
        <v>660</v>
      </c>
    </row>
    <row r="371" spans="1:10" x14ac:dyDescent="0.25">
      <c r="A371" s="3">
        <v>46086</v>
      </c>
      <c r="B371" s="5" t="s">
        <v>659</v>
      </c>
      <c r="C371" s="5" t="s">
        <v>659</v>
      </c>
      <c r="D371" s="5" t="s">
        <v>355</v>
      </c>
      <c r="E371" s="4" t="str">
        <f>"00971552488724"</f>
        <v>00971552488724</v>
      </c>
      <c r="F371" s="2" t="s">
        <v>12</v>
      </c>
      <c r="G371" s="2" t="s">
        <v>13</v>
      </c>
      <c r="H371" t="s">
        <v>14</v>
      </c>
      <c r="I371" s="1">
        <v>46086</v>
      </c>
      <c r="J371" t="s">
        <v>661</v>
      </c>
    </row>
    <row r="372" spans="1:10" x14ac:dyDescent="0.25">
      <c r="A372" s="3">
        <v>46086</v>
      </c>
      <c r="B372" s="5" t="s">
        <v>662</v>
      </c>
      <c r="C372" s="5" t="s">
        <v>662</v>
      </c>
      <c r="D372" s="5" t="s">
        <v>355</v>
      </c>
      <c r="E372" s="4" t="str">
        <f>"0097143201828"</f>
        <v>0097143201828</v>
      </c>
      <c r="F372" s="2" t="s">
        <v>12</v>
      </c>
      <c r="G372" s="2" t="s">
        <v>13</v>
      </c>
      <c r="H372" t="s">
        <v>14</v>
      </c>
      <c r="I372" s="1">
        <v>46086</v>
      </c>
      <c r="J372" t="s">
        <v>663</v>
      </c>
    </row>
    <row r="373" spans="1:10" x14ac:dyDescent="0.25">
      <c r="A373" s="3">
        <v>46086</v>
      </c>
      <c r="B373" s="5" t="s">
        <v>664</v>
      </c>
      <c r="C373" s="5" t="s">
        <v>664</v>
      </c>
      <c r="D373" s="5" t="s">
        <v>355</v>
      </c>
      <c r="E373" s="4" t="str">
        <f>"0097142713344"</f>
        <v>0097142713344</v>
      </c>
      <c r="F373" s="2" t="s">
        <v>12</v>
      </c>
      <c r="G373" s="2" t="s">
        <v>13</v>
      </c>
      <c r="H373" t="s">
        <v>14</v>
      </c>
      <c r="I373" s="1">
        <v>46086</v>
      </c>
      <c r="J373" t="s">
        <v>665</v>
      </c>
    </row>
    <row r="374" spans="1:10" x14ac:dyDescent="0.25">
      <c r="A374" s="3">
        <v>46086</v>
      </c>
      <c r="B374" s="5" t="s">
        <v>666</v>
      </c>
      <c r="C374" s="5" t="s">
        <v>666</v>
      </c>
      <c r="D374" s="5" t="s">
        <v>355</v>
      </c>
      <c r="E374" s="4" t="str">
        <f>"0097143394742"</f>
        <v>0097143394742</v>
      </c>
      <c r="F374" s="2" t="s">
        <v>12</v>
      </c>
      <c r="G374" s="2" t="s">
        <v>13</v>
      </c>
      <c r="H374" t="s">
        <v>14</v>
      </c>
      <c r="I374" s="1">
        <v>46086</v>
      </c>
      <c r="J374" t="s">
        <v>667</v>
      </c>
    </row>
    <row r="375" spans="1:10" x14ac:dyDescent="0.25">
      <c r="A375" s="3">
        <v>46086</v>
      </c>
      <c r="B375" s="5" t="s">
        <v>668</v>
      </c>
      <c r="C375" s="5" t="s">
        <v>668</v>
      </c>
      <c r="D375" s="5" t="s">
        <v>355</v>
      </c>
      <c r="E375" s="4" t="str">
        <f>"00971559892100"</f>
        <v>00971559892100</v>
      </c>
      <c r="F375" s="2" t="s">
        <v>12</v>
      </c>
      <c r="G375" s="2" t="s">
        <v>13</v>
      </c>
      <c r="H375" t="s">
        <v>14</v>
      </c>
      <c r="I375" s="1">
        <v>46086</v>
      </c>
      <c r="J375" t="s">
        <v>669</v>
      </c>
    </row>
    <row r="376" spans="1:10" x14ac:dyDescent="0.25">
      <c r="A376" s="3">
        <v>46086</v>
      </c>
      <c r="B376" s="5" t="s">
        <v>670</v>
      </c>
      <c r="C376" s="5" t="s">
        <v>670</v>
      </c>
      <c r="D376" s="5" t="s">
        <v>355</v>
      </c>
      <c r="E376" s="4" t="str">
        <f>"0097144228039"</f>
        <v>0097144228039</v>
      </c>
      <c r="F376" s="2" t="s">
        <v>12</v>
      </c>
      <c r="G376" s="2" t="s">
        <v>13</v>
      </c>
      <c r="H376" t="s">
        <v>14</v>
      </c>
      <c r="I376" s="1">
        <v>46086</v>
      </c>
      <c r="J376" t="s">
        <v>671</v>
      </c>
    </row>
    <row r="377" spans="1:10" x14ac:dyDescent="0.25">
      <c r="A377" s="3">
        <v>46086</v>
      </c>
      <c r="B377" s="5" t="s">
        <v>672</v>
      </c>
      <c r="C377" s="5" t="s">
        <v>672</v>
      </c>
      <c r="D377" s="5" t="s">
        <v>355</v>
      </c>
      <c r="E377" s="4" t="str">
        <f>"0097144228039"</f>
        <v>0097144228039</v>
      </c>
      <c r="F377" s="2" t="s">
        <v>12</v>
      </c>
      <c r="G377" s="2" t="s">
        <v>13</v>
      </c>
      <c r="H377" t="s">
        <v>14</v>
      </c>
      <c r="I377" s="1">
        <v>46086</v>
      </c>
      <c r="J377" t="s">
        <v>673</v>
      </c>
    </row>
    <row r="378" spans="1:10" x14ac:dyDescent="0.25">
      <c r="A378" s="3">
        <v>46086</v>
      </c>
      <c r="B378" s="5" t="s">
        <v>674</v>
      </c>
      <c r="C378" s="5" t="s">
        <v>674</v>
      </c>
      <c r="D378" s="5" t="s">
        <v>355</v>
      </c>
      <c r="E378" s="4" t="str">
        <f>"0097142672072"</f>
        <v>0097142672072</v>
      </c>
      <c r="F378" s="2" t="s">
        <v>12</v>
      </c>
      <c r="G378" s="2" t="s">
        <v>13</v>
      </c>
      <c r="H378" t="s">
        <v>14</v>
      </c>
      <c r="I378" s="1">
        <v>46086</v>
      </c>
      <c r="J378" t="s">
        <v>675</v>
      </c>
    </row>
    <row r="379" spans="1:10" x14ac:dyDescent="0.25">
      <c r="A379" s="3">
        <v>46086</v>
      </c>
      <c r="B379" s="5" t="s">
        <v>676</v>
      </c>
      <c r="C379" s="5" t="s">
        <v>676</v>
      </c>
      <c r="D379" s="5" t="s">
        <v>355</v>
      </c>
      <c r="E379" s="4" t="str">
        <f>"0097144217854"</f>
        <v>0097144217854</v>
      </c>
      <c r="F379" s="2" t="s">
        <v>12</v>
      </c>
      <c r="G379" s="2" t="s">
        <v>13</v>
      </c>
      <c r="H379" t="s">
        <v>14</v>
      </c>
      <c r="I379" s="1">
        <v>46086</v>
      </c>
      <c r="J379" t="s">
        <v>677</v>
      </c>
    </row>
    <row r="380" spans="1:10" x14ac:dyDescent="0.25">
      <c r="A380" s="3">
        <v>46086</v>
      </c>
      <c r="B380" s="5" t="s">
        <v>676</v>
      </c>
      <c r="C380" s="5" t="s">
        <v>676</v>
      </c>
      <c r="D380" s="5" t="s">
        <v>355</v>
      </c>
      <c r="E380" s="4" t="str">
        <f>"00971505846960"</f>
        <v>00971505846960</v>
      </c>
      <c r="F380" s="2" t="s">
        <v>12</v>
      </c>
      <c r="G380" s="2" t="s">
        <v>13</v>
      </c>
      <c r="H380" t="s">
        <v>14</v>
      </c>
      <c r="I380" s="1">
        <v>46086</v>
      </c>
      <c r="J380" t="s">
        <v>678</v>
      </c>
    </row>
    <row r="381" spans="1:10" x14ac:dyDescent="0.25">
      <c r="A381" s="3">
        <v>46086</v>
      </c>
      <c r="B381" s="5" t="s">
        <v>679</v>
      </c>
      <c r="C381" s="5" t="s">
        <v>679</v>
      </c>
      <c r="D381" s="5" t="s">
        <v>355</v>
      </c>
      <c r="E381" s="4" t="str">
        <f>"0097142344457"</f>
        <v>0097142344457</v>
      </c>
      <c r="F381" s="2" t="s">
        <v>12</v>
      </c>
      <c r="G381" s="2" t="s">
        <v>13</v>
      </c>
      <c r="H381" t="s">
        <v>14</v>
      </c>
      <c r="I381" s="1">
        <v>46086</v>
      </c>
      <c r="J381" t="s">
        <v>680</v>
      </c>
    </row>
    <row r="382" spans="1:10" x14ac:dyDescent="0.25">
      <c r="A382" s="3">
        <v>46086</v>
      </c>
      <c r="B382" s="5" t="s">
        <v>679</v>
      </c>
      <c r="C382" s="5" t="s">
        <v>679</v>
      </c>
      <c r="D382" s="5" t="s">
        <v>355</v>
      </c>
      <c r="E382" s="4" t="str">
        <f>"00971506462583"</f>
        <v>00971506462583</v>
      </c>
      <c r="F382" s="2" t="s">
        <v>12</v>
      </c>
      <c r="G382" s="2" t="s">
        <v>13</v>
      </c>
      <c r="H382" t="s">
        <v>14</v>
      </c>
      <c r="I382" s="1">
        <v>46086</v>
      </c>
      <c r="J382" t="s">
        <v>681</v>
      </c>
    </row>
    <row r="383" spans="1:10" x14ac:dyDescent="0.25">
      <c r="A383" s="3">
        <v>46086</v>
      </c>
      <c r="B383" s="5" t="s">
        <v>682</v>
      </c>
      <c r="C383" s="5" t="s">
        <v>682</v>
      </c>
      <c r="D383" s="5" t="s">
        <v>355</v>
      </c>
      <c r="E383" s="4" t="str">
        <f>"0097143312545"</f>
        <v>0097143312545</v>
      </c>
      <c r="F383" s="2" t="s">
        <v>12</v>
      </c>
      <c r="G383" s="2" t="s">
        <v>13</v>
      </c>
      <c r="H383" t="s">
        <v>14</v>
      </c>
      <c r="I383" s="1">
        <v>46086</v>
      </c>
      <c r="J383" t="s">
        <v>683</v>
      </c>
    </row>
    <row r="384" spans="1:10" x14ac:dyDescent="0.25">
      <c r="A384" s="3">
        <v>46086</v>
      </c>
      <c r="B384" s="5" t="s">
        <v>684</v>
      </c>
      <c r="C384" s="5" t="s">
        <v>684</v>
      </c>
      <c r="D384" s="5" t="s">
        <v>355</v>
      </c>
      <c r="E384" s="4" t="str">
        <f>"0097142942003"</f>
        <v>0097142942003</v>
      </c>
      <c r="F384" s="2" t="s">
        <v>12</v>
      </c>
      <c r="G384" s="2" t="s">
        <v>13</v>
      </c>
      <c r="H384" t="s">
        <v>14</v>
      </c>
      <c r="I384" s="1">
        <v>46086</v>
      </c>
      <c r="J384" t="s">
        <v>685</v>
      </c>
    </row>
    <row r="385" spans="1:10" x14ac:dyDescent="0.25">
      <c r="A385" s="3">
        <v>46086</v>
      </c>
      <c r="B385" s="5" t="s">
        <v>686</v>
      </c>
      <c r="C385" s="5" t="s">
        <v>686</v>
      </c>
      <c r="D385" s="5" t="s">
        <v>355</v>
      </c>
      <c r="E385" s="4" t="str">
        <f>"0097143454599"</f>
        <v>0097143454599</v>
      </c>
      <c r="F385" s="2" t="s">
        <v>12</v>
      </c>
      <c r="G385" s="2" t="s">
        <v>13</v>
      </c>
      <c r="H385" t="s">
        <v>14</v>
      </c>
      <c r="I385" s="1">
        <v>46086</v>
      </c>
      <c r="J385" t="s">
        <v>687</v>
      </c>
    </row>
    <row r="386" spans="1:10" x14ac:dyDescent="0.25">
      <c r="A386" s="3">
        <v>46086</v>
      </c>
      <c r="B386" s="5" t="s">
        <v>688</v>
      </c>
      <c r="C386" s="5" t="s">
        <v>688</v>
      </c>
      <c r="D386" s="5" t="s">
        <v>355</v>
      </c>
      <c r="E386" s="4" t="str">
        <f>"0097142693347"</f>
        <v>0097142693347</v>
      </c>
      <c r="F386" s="2" t="s">
        <v>12</v>
      </c>
      <c r="G386" s="2" t="s">
        <v>13</v>
      </c>
      <c r="H386" t="s">
        <v>14</v>
      </c>
      <c r="I386" s="1">
        <v>46086</v>
      </c>
      <c r="J386" t="s">
        <v>689</v>
      </c>
    </row>
    <row r="387" spans="1:10" x14ac:dyDescent="0.25">
      <c r="A387" s="3">
        <v>46086</v>
      </c>
      <c r="B387" s="5" t="s">
        <v>690</v>
      </c>
      <c r="C387" s="5" t="s">
        <v>690</v>
      </c>
      <c r="D387" s="5" t="s">
        <v>355</v>
      </c>
      <c r="E387" s="4" t="str">
        <f>"0097142566907"</f>
        <v>0097142566907</v>
      </c>
      <c r="F387" s="2" t="s">
        <v>12</v>
      </c>
      <c r="G387" s="2" t="s">
        <v>13</v>
      </c>
      <c r="H387" t="s">
        <v>14</v>
      </c>
      <c r="I387" s="1">
        <v>46086</v>
      </c>
      <c r="J387" t="s">
        <v>691</v>
      </c>
    </row>
    <row r="388" spans="1:10" x14ac:dyDescent="0.25">
      <c r="A388" s="3">
        <v>46086</v>
      </c>
      <c r="B388" s="5" t="s">
        <v>692</v>
      </c>
      <c r="C388" s="5" t="s">
        <v>692</v>
      </c>
      <c r="D388" s="5" t="s">
        <v>355</v>
      </c>
      <c r="E388" s="4" t="str">
        <f>"0097143477587"</f>
        <v>0097143477587</v>
      </c>
      <c r="F388" s="2" t="s">
        <v>12</v>
      </c>
      <c r="G388" s="2" t="s">
        <v>13</v>
      </c>
      <c r="H388" t="s">
        <v>14</v>
      </c>
      <c r="I388" s="1">
        <v>46086</v>
      </c>
      <c r="J388" t="s">
        <v>693</v>
      </c>
    </row>
    <row r="389" spans="1:10" x14ac:dyDescent="0.25">
      <c r="A389" s="3">
        <v>46086</v>
      </c>
      <c r="B389" s="5" t="s">
        <v>692</v>
      </c>
      <c r="C389" s="5" t="s">
        <v>692</v>
      </c>
      <c r="D389" s="5" t="s">
        <v>355</v>
      </c>
      <c r="E389" s="4" t="str">
        <f>"00971505388977"</f>
        <v>00971505388977</v>
      </c>
      <c r="F389" s="2" t="s">
        <v>12</v>
      </c>
      <c r="G389" s="2" t="s">
        <v>13</v>
      </c>
      <c r="H389" t="s">
        <v>14</v>
      </c>
      <c r="I389" s="1">
        <v>46086</v>
      </c>
      <c r="J389" t="s">
        <v>694</v>
      </c>
    </row>
    <row r="390" spans="1:10" x14ac:dyDescent="0.25">
      <c r="A390" s="3">
        <v>46086</v>
      </c>
      <c r="B390" s="5" t="s">
        <v>695</v>
      </c>
      <c r="C390" s="5" t="s">
        <v>695</v>
      </c>
      <c r="D390" s="5" t="s">
        <v>355</v>
      </c>
      <c r="E390" s="4" t="str">
        <f>"0097142287973"</f>
        <v>0097142287973</v>
      </c>
      <c r="F390" s="2" t="s">
        <v>12</v>
      </c>
      <c r="G390" s="2" t="s">
        <v>13</v>
      </c>
      <c r="H390" t="s">
        <v>14</v>
      </c>
      <c r="I390" s="1">
        <v>46086</v>
      </c>
      <c r="J390" t="s">
        <v>696</v>
      </c>
    </row>
    <row r="391" spans="1:10" x14ac:dyDescent="0.25">
      <c r="A391" s="3">
        <v>46086</v>
      </c>
      <c r="B391" s="5" t="s">
        <v>697</v>
      </c>
      <c r="C391" s="5" t="s">
        <v>697</v>
      </c>
      <c r="D391" s="5" t="s">
        <v>355</v>
      </c>
      <c r="E391" s="4" t="str">
        <f>"0097142651155"</f>
        <v>0097142651155</v>
      </c>
      <c r="F391" s="2" t="s">
        <v>12</v>
      </c>
      <c r="G391" s="2" t="s">
        <v>13</v>
      </c>
      <c r="H391" t="s">
        <v>14</v>
      </c>
      <c r="I391" s="1">
        <v>46086</v>
      </c>
      <c r="J391" t="s">
        <v>698</v>
      </c>
    </row>
    <row r="392" spans="1:10" x14ac:dyDescent="0.25">
      <c r="A392" s="3">
        <v>46086</v>
      </c>
      <c r="B392" s="5" t="s">
        <v>697</v>
      </c>
      <c r="C392" s="5" t="s">
        <v>697</v>
      </c>
      <c r="D392" s="5" t="s">
        <v>355</v>
      </c>
      <c r="E392" s="4" t="str">
        <f>"00971501700170"</f>
        <v>00971501700170</v>
      </c>
      <c r="F392" s="2" t="s">
        <v>12</v>
      </c>
      <c r="G392" s="2" t="s">
        <v>13</v>
      </c>
      <c r="H392" t="s">
        <v>14</v>
      </c>
      <c r="I392" s="1">
        <v>46086</v>
      </c>
      <c r="J392" t="s">
        <v>699</v>
      </c>
    </row>
    <row r="393" spans="1:10" x14ac:dyDescent="0.25">
      <c r="A393" s="3">
        <v>46086</v>
      </c>
      <c r="B393" s="5" t="s">
        <v>700</v>
      </c>
      <c r="C393" s="5" t="s">
        <v>700</v>
      </c>
      <c r="D393" s="5" t="s">
        <v>355</v>
      </c>
      <c r="E393" s="4" t="str">
        <f>"0097143933342"</f>
        <v>0097143933342</v>
      </c>
      <c r="F393" s="2" t="s">
        <v>12</v>
      </c>
      <c r="G393" s="2" t="s">
        <v>13</v>
      </c>
      <c r="H393" t="s">
        <v>14</v>
      </c>
      <c r="I393" s="1">
        <v>46086</v>
      </c>
      <c r="J393" t="s">
        <v>701</v>
      </c>
    </row>
    <row r="394" spans="1:10" x14ac:dyDescent="0.25">
      <c r="A394" s="3">
        <v>46086</v>
      </c>
      <c r="B394" s="5" t="s">
        <v>702</v>
      </c>
      <c r="C394" s="5" t="s">
        <v>702</v>
      </c>
      <c r="D394" s="5" t="s">
        <v>355</v>
      </c>
      <c r="E394" s="4" t="str">
        <f>"0097143578188"</f>
        <v>0097143578188</v>
      </c>
      <c r="F394" s="2" t="s">
        <v>12</v>
      </c>
      <c r="G394" s="2" t="s">
        <v>13</v>
      </c>
      <c r="H394" t="s">
        <v>14</v>
      </c>
      <c r="I394" s="1">
        <v>46086</v>
      </c>
      <c r="J394" t="s">
        <v>703</v>
      </c>
    </row>
    <row r="395" spans="1:10" x14ac:dyDescent="0.25">
      <c r="A395" s="3">
        <v>46086</v>
      </c>
      <c r="B395" s="5" t="s">
        <v>704</v>
      </c>
      <c r="C395" s="5" t="s">
        <v>704</v>
      </c>
      <c r="D395" s="5" t="s">
        <v>355</v>
      </c>
      <c r="E395" s="4" t="str">
        <f>"0097142547887"</f>
        <v>0097142547887</v>
      </c>
      <c r="F395" s="2" t="s">
        <v>12</v>
      </c>
      <c r="G395" s="2" t="s">
        <v>13</v>
      </c>
      <c r="H395" t="s">
        <v>14</v>
      </c>
      <c r="I395" s="1">
        <v>46086</v>
      </c>
      <c r="J395" t="s">
        <v>705</v>
      </c>
    </row>
    <row r="396" spans="1:10" x14ac:dyDescent="0.25">
      <c r="A396" s="3">
        <v>46086</v>
      </c>
      <c r="B396" s="5" t="s">
        <v>704</v>
      </c>
      <c r="C396" s="5" t="s">
        <v>704</v>
      </c>
      <c r="D396" s="5" t="s">
        <v>355</v>
      </c>
      <c r="E396" s="4" t="str">
        <f>"00971552887699"</f>
        <v>00971552887699</v>
      </c>
      <c r="F396" s="2" t="s">
        <v>12</v>
      </c>
      <c r="G396" s="2" t="s">
        <v>13</v>
      </c>
      <c r="H396" t="s">
        <v>14</v>
      </c>
      <c r="I396" s="1">
        <v>46086</v>
      </c>
      <c r="J396" t="s">
        <v>706</v>
      </c>
    </row>
    <row r="397" spans="1:10" x14ac:dyDescent="0.25">
      <c r="A397" s="3">
        <v>46086</v>
      </c>
      <c r="B397" s="5" t="s">
        <v>707</v>
      </c>
      <c r="C397" s="5" t="s">
        <v>707</v>
      </c>
      <c r="D397" s="5" t="s">
        <v>355</v>
      </c>
      <c r="E397" s="4" t="str">
        <f>"0097143417912"</f>
        <v>0097143417912</v>
      </c>
      <c r="F397" s="2" t="s">
        <v>12</v>
      </c>
      <c r="G397" s="2" t="s">
        <v>13</v>
      </c>
      <c r="H397" t="s">
        <v>14</v>
      </c>
      <c r="I397" s="1">
        <v>46086</v>
      </c>
      <c r="J397" t="s">
        <v>708</v>
      </c>
    </row>
    <row r="398" spans="1:10" x14ac:dyDescent="0.25">
      <c r="A398" s="3">
        <v>46086</v>
      </c>
      <c r="B398" s="5" t="s">
        <v>709</v>
      </c>
      <c r="C398" s="5" t="s">
        <v>709</v>
      </c>
      <c r="D398" s="5" t="s">
        <v>355</v>
      </c>
      <c r="E398" s="4" t="str">
        <f>"0097142383464"</f>
        <v>0097142383464</v>
      </c>
      <c r="F398" s="2" t="s">
        <v>12</v>
      </c>
      <c r="G398" s="2" t="s">
        <v>13</v>
      </c>
      <c r="H398" t="s">
        <v>14</v>
      </c>
      <c r="I398" s="1">
        <v>46086</v>
      </c>
      <c r="J398" t="s">
        <v>710</v>
      </c>
    </row>
    <row r="399" spans="1:10" x14ac:dyDescent="0.25">
      <c r="A399" s="3">
        <v>46086</v>
      </c>
      <c r="B399" s="5" t="s">
        <v>711</v>
      </c>
      <c r="C399" s="5" t="s">
        <v>711</v>
      </c>
      <c r="D399" s="5" t="s">
        <v>355</v>
      </c>
      <c r="E399" s="4" t="str">
        <f>"0097142948682"</f>
        <v>0097142948682</v>
      </c>
      <c r="F399" s="2" t="s">
        <v>12</v>
      </c>
      <c r="G399" s="2" t="s">
        <v>13</v>
      </c>
      <c r="H399" t="s">
        <v>14</v>
      </c>
      <c r="I399" s="1">
        <v>46086</v>
      </c>
      <c r="J399" t="s">
        <v>712</v>
      </c>
    </row>
    <row r="400" spans="1:10" x14ac:dyDescent="0.25">
      <c r="A400" s="3">
        <v>46086</v>
      </c>
      <c r="B400" s="5" t="s">
        <v>713</v>
      </c>
      <c r="C400" s="5" t="s">
        <v>713</v>
      </c>
      <c r="D400" s="5" t="s">
        <v>355</v>
      </c>
      <c r="E400" s="4" t="str">
        <f>"0097142669100"</f>
        <v>0097142669100</v>
      </c>
      <c r="F400" s="2" t="s">
        <v>12</v>
      </c>
      <c r="G400" s="2" t="s">
        <v>13</v>
      </c>
      <c r="H400" t="s">
        <v>14</v>
      </c>
      <c r="I400" s="1">
        <v>46086</v>
      </c>
      <c r="J400" t="s">
        <v>714</v>
      </c>
    </row>
    <row r="401" spans="1:10" x14ac:dyDescent="0.25">
      <c r="A401" s="3">
        <v>46086</v>
      </c>
      <c r="B401" s="5" t="s">
        <v>715</v>
      </c>
      <c r="C401" s="5" t="s">
        <v>715</v>
      </c>
      <c r="D401" s="5" t="s">
        <v>355</v>
      </c>
      <c r="E401" s="4" t="str">
        <f>"0097142583122"</f>
        <v>0097142583122</v>
      </c>
      <c r="F401" s="2" t="s">
        <v>12</v>
      </c>
      <c r="G401" s="2" t="s">
        <v>13</v>
      </c>
      <c r="H401" t="s">
        <v>14</v>
      </c>
      <c r="I401" s="1">
        <v>46086</v>
      </c>
      <c r="J401" t="s">
        <v>716</v>
      </c>
    </row>
    <row r="402" spans="1:10" x14ac:dyDescent="0.25">
      <c r="A402" s="3">
        <v>46086</v>
      </c>
      <c r="B402" s="5" t="s">
        <v>717</v>
      </c>
      <c r="C402" s="5" t="s">
        <v>717</v>
      </c>
      <c r="D402" s="5" t="s">
        <v>355</v>
      </c>
      <c r="E402" s="4" t="str">
        <f>"0097144501700"</f>
        <v>0097144501700</v>
      </c>
      <c r="F402" s="2" t="s">
        <v>12</v>
      </c>
      <c r="G402" s="2" t="s">
        <v>13</v>
      </c>
      <c r="H402" t="s">
        <v>14</v>
      </c>
      <c r="I402" s="1">
        <v>46086</v>
      </c>
      <c r="J402" t="s">
        <v>718</v>
      </c>
    </row>
    <row r="403" spans="1:10" x14ac:dyDescent="0.25">
      <c r="A403" s="3">
        <v>46086</v>
      </c>
      <c r="B403" s="5" t="s">
        <v>719</v>
      </c>
      <c r="C403" s="5" t="s">
        <v>719</v>
      </c>
      <c r="D403" s="5" t="s">
        <v>355</v>
      </c>
      <c r="E403" s="4" t="str">
        <f>"0097142217776"</f>
        <v>0097142217776</v>
      </c>
      <c r="F403" s="2" t="s">
        <v>12</v>
      </c>
      <c r="G403" s="2" t="s">
        <v>13</v>
      </c>
      <c r="H403" t="s">
        <v>14</v>
      </c>
      <c r="I403" s="1">
        <v>46086</v>
      </c>
      <c r="J403" t="s">
        <v>720</v>
      </c>
    </row>
    <row r="404" spans="1:10" x14ac:dyDescent="0.25">
      <c r="A404" s="3">
        <v>46086</v>
      </c>
      <c r="B404" s="5" t="s">
        <v>719</v>
      </c>
      <c r="C404" s="5" t="s">
        <v>719</v>
      </c>
      <c r="D404" s="5" t="s">
        <v>355</v>
      </c>
      <c r="E404" s="4" t="str">
        <f>"00971547854574"</f>
        <v>00971547854574</v>
      </c>
      <c r="F404" s="2" t="s">
        <v>12</v>
      </c>
      <c r="G404" s="2" t="s">
        <v>13</v>
      </c>
      <c r="H404" t="s">
        <v>14</v>
      </c>
      <c r="I404" s="1">
        <v>46086</v>
      </c>
      <c r="J404" t="s">
        <v>721</v>
      </c>
    </row>
    <row r="405" spans="1:10" x14ac:dyDescent="0.25">
      <c r="A405" s="3">
        <v>46086</v>
      </c>
      <c r="B405" s="5" t="s">
        <v>722</v>
      </c>
      <c r="C405" s="5" t="s">
        <v>722</v>
      </c>
      <c r="D405" s="5" t="s">
        <v>355</v>
      </c>
      <c r="E405" s="4" t="str">
        <f>"0097143935154"</f>
        <v>0097143935154</v>
      </c>
      <c r="F405" s="2" t="s">
        <v>12</v>
      </c>
      <c r="G405" s="2" t="s">
        <v>13</v>
      </c>
      <c r="H405" t="s">
        <v>14</v>
      </c>
      <c r="I405" s="1">
        <v>46086</v>
      </c>
      <c r="J405" t="s">
        <v>723</v>
      </c>
    </row>
    <row r="406" spans="1:10" x14ac:dyDescent="0.25">
      <c r="A406" s="3">
        <v>46086</v>
      </c>
      <c r="B406" s="5" t="s">
        <v>724</v>
      </c>
      <c r="C406" s="5" t="s">
        <v>724</v>
      </c>
      <c r="D406" s="5" t="s">
        <v>355</v>
      </c>
      <c r="E406" s="4" t="str">
        <f>"0097144409800"</f>
        <v>0097144409800</v>
      </c>
      <c r="F406" s="2" t="s">
        <v>12</v>
      </c>
      <c r="G406" s="2" t="s">
        <v>13</v>
      </c>
      <c r="H406" t="s">
        <v>14</v>
      </c>
      <c r="I406" s="1">
        <v>46086</v>
      </c>
      <c r="J406" t="s">
        <v>725</v>
      </c>
    </row>
    <row r="407" spans="1:10" x14ac:dyDescent="0.25">
      <c r="A407" s="3">
        <v>46086</v>
      </c>
      <c r="B407" s="5" t="s">
        <v>726</v>
      </c>
      <c r="C407" s="5" t="s">
        <v>726</v>
      </c>
      <c r="D407" s="5" t="s">
        <v>355</v>
      </c>
      <c r="E407" s="4" t="str">
        <f>"0097143827821"</f>
        <v>0097143827821</v>
      </c>
      <c r="F407" s="2" t="s">
        <v>12</v>
      </c>
      <c r="G407" s="2" t="s">
        <v>13</v>
      </c>
      <c r="H407" t="s">
        <v>14</v>
      </c>
      <c r="I407" s="1">
        <v>46086</v>
      </c>
      <c r="J407" t="s">
        <v>727</v>
      </c>
    </row>
    <row r="408" spans="1:10" x14ac:dyDescent="0.25">
      <c r="A408" s="3">
        <v>46086</v>
      </c>
      <c r="B408" s="5" t="s">
        <v>726</v>
      </c>
      <c r="C408" s="5" t="s">
        <v>726</v>
      </c>
      <c r="D408" s="5" t="s">
        <v>355</v>
      </c>
      <c r="E408" s="4" t="str">
        <f>"00971508544418"</f>
        <v>00971508544418</v>
      </c>
      <c r="F408" s="2" t="s">
        <v>12</v>
      </c>
      <c r="G408" s="2" t="s">
        <v>13</v>
      </c>
      <c r="H408" t="s">
        <v>14</v>
      </c>
      <c r="I408" s="1">
        <v>46086</v>
      </c>
      <c r="J408" t="s">
        <v>728</v>
      </c>
    </row>
    <row r="409" spans="1:10" x14ac:dyDescent="0.25">
      <c r="A409" s="3">
        <v>46086</v>
      </c>
      <c r="B409" s="5" t="s">
        <v>729</v>
      </c>
      <c r="C409" s="5" t="s">
        <v>729</v>
      </c>
      <c r="D409" s="5" t="s">
        <v>355</v>
      </c>
      <c r="E409" s="4" t="str">
        <f>"0097143687114"</f>
        <v>0097143687114</v>
      </c>
      <c r="F409" s="2" t="s">
        <v>12</v>
      </c>
      <c r="G409" s="2" t="s">
        <v>13</v>
      </c>
      <c r="H409" t="s">
        <v>14</v>
      </c>
      <c r="I409" s="1">
        <v>46086</v>
      </c>
      <c r="J409" t="s">
        <v>730</v>
      </c>
    </row>
    <row r="410" spans="1:10" x14ac:dyDescent="0.25">
      <c r="A410" s="3">
        <v>46086</v>
      </c>
      <c r="B410" s="5" t="s">
        <v>731</v>
      </c>
      <c r="C410" s="5" t="s">
        <v>731</v>
      </c>
      <c r="D410" s="5" t="s">
        <v>355</v>
      </c>
      <c r="E410" s="4" t="str">
        <f>"0097143938181"</f>
        <v>0097143938181</v>
      </c>
      <c r="F410" s="2" t="s">
        <v>12</v>
      </c>
      <c r="G410" s="2" t="s">
        <v>13</v>
      </c>
      <c r="H410" t="s">
        <v>14</v>
      </c>
      <c r="I410" s="1">
        <v>46086</v>
      </c>
      <c r="J410" t="s">
        <v>732</v>
      </c>
    </row>
    <row r="411" spans="1:10" x14ac:dyDescent="0.25">
      <c r="A411" s="3">
        <v>46086</v>
      </c>
      <c r="B411" s="5" t="s">
        <v>731</v>
      </c>
      <c r="C411" s="5" t="s">
        <v>731</v>
      </c>
      <c r="D411" s="5" t="s">
        <v>355</v>
      </c>
      <c r="E411" s="4" t="str">
        <f>"00971502043201"</f>
        <v>00971502043201</v>
      </c>
      <c r="F411" s="2" t="s">
        <v>12</v>
      </c>
      <c r="G411" s="2" t="s">
        <v>13</v>
      </c>
      <c r="H411" t="s">
        <v>14</v>
      </c>
      <c r="I411" s="1">
        <v>46086</v>
      </c>
      <c r="J411" t="s">
        <v>733</v>
      </c>
    </row>
    <row r="412" spans="1:10" x14ac:dyDescent="0.25">
      <c r="A412" s="3">
        <v>46086</v>
      </c>
      <c r="B412" s="5" t="s">
        <v>734</v>
      </c>
      <c r="C412" s="5" t="s">
        <v>734</v>
      </c>
      <c r="D412" s="5" t="s">
        <v>355</v>
      </c>
      <c r="E412" s="4" t="str">
        <f>"0097142523391"</f>
        <v>0097142523391</v>
      </c>
      <c r="F412" s="2" t="s">
        <v>12</v>
      </c>
      <c r="G412" s="2" t="s">
        <v>13</v>
      </c>
      <c r="H412" t="s">
        <v>14</v>
      </c>
      <c r="I412" s="1">
        <v>46086</v>
      </c>
      <c r="J412" t="s">
        <v>735</v>
      </c>
    </row>
    <row r="413" spans="1:10" x14ac:dyDescent="0.25">
      <c r="A413" s="3">
        <v>46086</v>
      </c>
      <c r="B413" s="5" t="s">
        <v>736</v>
      </c>
      <c r="C413" s="5" t="s">
        <v>736</v>
      </c>
      <c r="D413" s="5" t="s">
        <v>355</v>
      </c>
      <c r="E413" s="4" t="str">
        <f>"0097144310661"</f>
        <v>0097144310661</v>
      </c>
      <c r="F413" s="2" t="s">
        <v>12</v>
      </c>
      <c r="G413" s="2" t="s">
        <v>13</v>
      </c>
      <c r="H413" t="s">
        <v>14</v>
      </c>
      <c r="I413" s="1">
        <v>46086</v>
      </c>
      <c r="J413" t="s">
        <v>737</v>
      </c>
    </row>
    <row r="414" spans="1:10" x14ac:dyDescent="0.25">
      <c r="A414" s="3">
        <v>46086</v>
      </c>
      <c r="B414" s="5" t="s">
        <v>738</v>
      </c>
      <c r="C414" s="5" t="s">
        <v>738</v>
      </c>
      <c r="D414" s="5" t="s">
        <v>355</v>
      </c>
      <c r="E414" s="4" t="str">
        <f>"0097143369196"</f>
        <v>0097143369196</v>
      </c>
      <c r="F414" s="2" t="s">
        <v>12</v>
      </c>
      <c r="G414" s="2" t="s">
        <v>13</v>
      </c>
      <c r="H414" t="s">
        <v>14</v>
      </c>
      <c r="I414" s="1">
        <v>46086</v>
      </c>
      <c r="J414" t="s">
        <v>739</v>
      </c>
    </row>
    <row r="415" spans="1:10" x14ac:dyDescent="0.25">
      <c r="A415" s="3">
        <v>46086</v>
      </c>
      <c r="B415" s="5" t="s">
        <v>740</v>
      </c>
      <c r="C415" s="5" t="s">
        <v>740</v>
      </c>
      <c r="D415" s="5" t="s">
        <v>355</v>
      </c>
      <c r="E415" s="4" t="str">
        <f>"0097143400034"</f>
        <v>0097143400034</v>
      </c>
      <c r="F415" s="2" t="s">
        <v>12</v>
      </c>
      <c r="G415" s="2" t="s">
        <v>13</v>
      </c>
      <c r="H415" t="s">
        <v>14</v>
      </c>
      <c r="I415" s="1">
        <v>46086</v>
      </c>
      <c r="J415" t="s">
        <v>741</v>
      </c>
    </row>
    <row r="416" spans="1:10" x14ac:dyDescent="0.25">
      <c r="A416" s="3">
        <v>46086</v>
      </c>
      <c r="B416" s="5" t="s">
        <v>740</v>
      </c>
      <c r="C416" s="5" t="s">
        <v>740</v>
      </c>
      <c r="D416" s="5" t="s">
        <v>355</v>
      </c>
      <c r="E416" s="4" t="str">
        <f>"00971554403377"</f>
        <v>00971554403377</v>
      </c>
      <c r="F416" s="2" t="s">
        <v>12</v>
      </c>
      <c r="G416" s="2" t="s">
        <v>13</v>
      </c>
      <c r="H416" t="s">
        <v>14</v>
      </c>
      <c r="I416" s="1">
        <v>46086</v>
      </c>
      <c r="J416" t="s">
        <v>742</v>
      </c>
    </row>
    <row r="417" spans="1:10" x14ac:dyDescent="0.25">
      <c r="A417" s="3">
        <v>46086</v>
      </c>
      <c r="B417" s="5" t="s">
        <v>743</v>
      </c>
      <c r="C417" s="5" t="s">
        <v>743</v>
      </c>
      <c r="D417" s="5" t="s">
        <v>355</v>
      </c>
      <c r="E417" s="4" t="str">
        <f>"0097142288580"</f>
        <v>0097142288580</v>
      </c>
      <c r="F417" s="2" t="s">
        <v>12</v>
      </c>
      <c r="G417" s="2" t="s">
        <v>13</v>
      </c>
      <c r="H417" t="s">
        <v>14</v>
      </c>
      <c r="I417" s="1">
        <v>46086</v>
      </c>
      <c r="J417" t="s">
        <v>744</v>
      </c>
    </row>
    <row r="418" spans="1:10" x14ac:dyDescent="0.25">
      <c r="A418" s="3">
        <v>46086</v>
      </c>
      <c r="B418" s="5" t="s">
        <v>745</v>
      </c>
      <c r="C418" s="5" t="s">
        <v>745</v>
      </c>
      <c r="D418" s="5" t="s">
        <v>355</v>
      </c>
      <c r="E418" s="4" t="str">
        <f>"0097142568720"</f>
        <v>0097142568720</v>
      </c>
      <c r="F418" s="2" t="s">
        <v>12</v>
      </c>
      <c r="G418" s="2" t="s">
        <v>13</v>
      </c>
      <c r="H418" t="s">
        <v>14</v>
      </c>
      <c r="I418" s="1">
        <v>46086</v>
      </c>
      <c r="J418" t="s">
        <v>746</v>
      </c>
    </row>
    <row r="419" spans="1:10" x14ac:dyDescent="0.25">
      <c r="A419" s="3">
        <v>46086</v>
      </c>
      <c r="B419" s="5" t="s">
        <v>747</v>
      </c>
      <c r="C419" s="5" t="s">
        <v>747</v>
      </c>
      <c r="D419" s="5" t="s">
        <v>355</v>
      </c>
      <c r="E419" s="4" t="str">
        <f>"0097142356501"</f>
        <v>0097142356501</v>
      </c>
      <c r="F419" s="2" t="s">
        <v>12</v>
      </c>
      <c r="G419" s="2" t="s">
        <v>13</v>
      </c>
      <c r="H419" t="s">
        <v>14</v>
      </c>
      <c r="I419" s="1">
        <v>46086</v>
      </c>
      <c r="J419" t="s">
        <v>748</v>
      </c>
    </row>
    <row r="420" spans="1:10" x14ac:dyDescent="0.25">
      <c r="A420" s="3">
        <v>46086</v>
      </c>
      <c r="B420" s="5" t="s">
        <v>747</v>
      </c>
      <c r="C420" s="5" t="s">
        <v>747</v>
      </c>
      <c r="D420" s="5" t="s">
        <v>355</v>
      </c>
      <c r="E420" s="4" t="str">
        <f>"00971502807031"</f>
        <v>00971502807031</v>
      </c>
      <c r="F420" s="2" t="s">
        <v>12</v>
      </c>
      <c r="G420" s="2" t="s">
        <v>13</v>
      </c>
      <c r="H420" t="s">
        <v>14</v>
      </c>
      <c r="I420" s="1">
        <v>46086</v>
      </c>
      <c r="J420" t="s">
        <v>749</v>
      </c>
    </row>
    <row r="421" spans="1:10" x14ac:dyDescent="0.25">
      <c r="A421" s="3">
        <v>46086</v>
      </c>
      <c r="B421" s="5" t="s">
        <v>750</v>
      </c>
      <c r="C421" s="5" t="s">
        <v>750</v>
      </c>
      <c r="D421" s="5" t="s">
        <v>355</v>
      </c>
      <c r="E421" s="4" t="str">
        <f>"0097144410436"</f>
        <v>0097144410436</v>
      </c>
      <c r="F421" s="2" t="s">
        <v>12</v>
      </c>
      <c r="G421" s="2" t="s">
        <v>13</v>
      </c>
      <c r="H421" t="s">
        <v>14</v>
      </c>
      <c r="I421" s="1">
        <v>46086</v>
      </c>
      <c r="J421" t="s">
        <v>751</v>
      </c>
    </row>
    <row r="422" spans="1:10" x14ac:dyDescent="0.25">
      <c r="A422" s="3">
        <v>46086</v>
      </c>
      <c r="B422" s="5" t="s">
        <v>752</v>
      </c>
      <c r="C422" s="5" t="s">
        <v>752</v>
      </c>
      <c r="D422" s="5" t="s">
        <v>355</v>
      </c>
      <c r="E422" s="4" t="str">
        <f>"0097142283008"</f>
        <v>0097142283008</v>
      </c>
      <c r="F422" s="2" t="s">
        <v>12</v>
      </c>
      <c r="G422" s="2" t="s">
        <v>13</v>
      </c>
      <c r="H422" t="s">
        <v>14</v>
      </c>
      <c r="I422" s="1">
        <v>46086</v>
      </c>
      <c r="J422" t="s">
        <v>753</v>
      </c>
    </row>
    <row r="423" spans="1:10" x14ac:dyDescent="0.25">
      <c r="A423" s="3">
        <v>46086</v>
      </c>
      <c r="B423" s="5" t="s">
        <v>754</v>
      </c>
      <c r="C423" s="5" t="s">
        <v>754</v>
      </c>
      <c r="D423" s="5" t="s">
        <v>355</v>
      </c>
      <c r="E423" s="4" t="str">
        <f>"0097144541531"</f>
        <v>0097144541531</v>
      </c>
      <c r="F423" s="2" t="s">
        <v>12</v>
      </c>
      <c r="G423" s="2" t="s">
        <v>13</v>
      </c>
      <c r="H423" t="s">
        <v>14</v>
      </c>
      <c r="I423" s="1">
        <v>46086</v>
      </c>
      <c r="J423" t="s">
        <v>755</v>
      </c>
    </row>
    <row r="424" spans="1:10" x14ac:dyDescent="0.25">
      <c r="A424" s="3">
        <v>46086</v>
      </c>
      <c r="B424" s="5" t="s">
        <v>756</v>
      </c>
      <c r="C424" s="5" t="s">
        <v>756</v>
      </c>
      <c r="D424" s="5" t="s">
        <v>355</v>
      </c>
      <c r="E424" s="4" t="str">
        <f>"0097142280418"</f>
        <v>0097142280418</v>
      </c>
      <c r="F424" s="2" t="s">
        <v>12</v>
      </c>
      <c r="G424" s="2" t="s">
        <v>13</v>
      </c>
      <c r="H424" t="s">
        <v>14</v>
      </c>
      <c r="I424" s="1">
        <v>46086</v>
      </c>
      <c r="J424" t="s">
        <v>757</v>
      </c>
    </row>
    <row r="425" spans="1:10" x14ac:dyDescent="0.25">
      <c r="A425" s="3">
        <v>46086</v>
      </c>
      <c r="B425" s="5" t="s">
        <v>756</v>
      </c>
      <c r="C425" s="5" t="s">
        <v>756</v>
      </c>
      <c r="D425" s="5" t="s">
        <v>355</v>
      </c>
      <c r="E425" s="4" t="str">
        <f>"00971506513387"</f>
        <v>00971506513387</v>
      </c>
      <c r="F425" s="2" t="s">
        <v>12</v>
      </c>
      <c r="G425" s="2" t="s">
        <v>13</v>
      </c>
      <c r="H425" t="s">
        <v>14</v>
      </c>
      <c r="I425" s="1">
        <v>46086</v>
      </c>
      <c r="J425" t="s">
        <v>758</v>
      </c>
    </row>
    <row r="426" spans="1:10" x14ac:dyDescent="0.25">
      <c r="A426" s="3">
        <v>46086</v>
      </c>
      <c r="B426" s="5" t="s">
        <v>759</v>
      </c>
      <c r="C426" s="5" t="s">
        <v>759</v>
      </c>
      <c r="D426" s="5" t="s">
        <v>355</v>
      </c>
      <c r="E426" s="4" t="str">
        <f>"00971557072146"</f>
        <v>00971557072146</v>
      </c>
      <c r="F426" s="2" t="s">
        <v>12</v>
      </c>
      <c r="G426" s="2" t="s">
        <v>13</v>
      </c>
      <c r="H426" t="s">
        <v>14</v>
      </c>
      <c r="I426" s="1">
        <v>46086</v>
      </c>
      <c r="J426" t="s">
        <v>760</v>
      </c>
    </row>
    <row r="427" spans="1:10" x14ac:dyDescent="0.25">
      <c r="A427" s="3">
        <v>46086</v>
      </c>
      <c r="B427" s="5" t="s">
        <v>761</v>
      </c>
      <c r="C427" s="5" t="s">
        <v>761</v>
      </c>
      <c r="D427" s="5" t="s">
        <v>355</v>
      </c>
      <c r="E427" s="4" t="str">
        <f>"0097142674216"</f>
        <v>0097142674216</v>
      </c>
      <c r="F427" s="2" t="s">
        <v>12</v>
      </c>
      <c r="G427" s="2" t="s">
        <v>13</v>
      </c>
      <c r="H427" t="s">
        <v>14</v>
      </c>
      <c r="I427" s="1">
        <v>46086</v>
      </c>
      <c r="J427" t="s">
        <v>762</v>
      </c>
    </row>
    <row r="428" spans="1:10" x14ac:dyDescent="0.25">
      <c r="A428" s="3">
        <v>46086</v>
      </c>
      <c r="B428" s="5" t="s">
        <v>763</v>
      </c>
      <c r="C428" s="5" t="s">
        <v>763</v>
      </c>
      <c r="D428" s="5" t="s">
        <v>355</v>
      </c>
      <c r="E428" s="4" t="str">
        <f>"00971563303078"</f>
        <v>00971563303078</v>
      </c>
      <c r="F428" s="2" t="s">
        <v>12</v>
      </c>
      <c r="G428" s="2" t="s">
        <v>13</v>
      </c>
      <c r="H428" t="s">
        <v>14</v>
      </c>
      <c r="I428" s="1">
        <v>46086</v>
      </c>
      <c r="J428" t="s">
        <v>764</v>
      </c>
    </row>
    <row r="429" spans="1:10" x14ac:dyDescent="0.25">
      <c r="A429" s="3">
        <v>46086</v>
      </c>
      <c r="B429" s="5" t="s">
        <v>763</v>
      </c>
      <c r="C429" s="5" t="s">
        <v>763</v>
      </c>
      <c r="D429" s="5" t="s">
        <v>355</v>
      </c>
      <c r="E429" s="4" t="str">
        <f>"0097165241440"</f>
        <v>0097165241440</v>
      </c>
      <c r="F429" s="2" t="s">
        <v>12</v>
      </c>
      <c r="G429" s="2" t="s">
        <v>13</v>
      </c>
      <c r="H429" t="s">
        <v>14</v>
      </c>
      <c r="I429" s="1">
        <v>46086</v>
      </c>
      <c r="J429" t="s">
        <v>765</v>
      </c>
    </row>
    <row r="430" spans="1:10" x14ac:dyDescent="0.25">
      <c r="A430" s="3">
        <v>46086</v>
      </c>
      <c r="B430" s="5" t="s">
        <v>766</v>
      </c>
      <c r="C430" s="5" t="s">
        <v>766</v>
      </c>
      <c r="D430" s="5" t="s">
        <v>355</v>
      </c>
      <c r="E430" s="4" t="str">
        <f>"0097142693480"</f>
        <v>0097142693480</v>
      </c>
      <c r="F430" s="2" t="s">
        <v>12</v>
      </c>
      <c r="G430" s="2" t="s">
        <v>13</v>
      </c>
      <c r="H430" t="s">
        <v>14</v>
      </c>
      <c r="I430" s="1">
        <v>46086</v>
      </c>
      <c r="J430" t="s">
        <v>767</v>
      </c>
    </row>
    <row r="431" spans="1:10" x14ac:dyDescent="0.25">
      <c r="A431" s="3">
        <v>46086</v>
      </c>
      <c r="B431" s="5" t="s">
        <v>768</v>
      </c>
      <c r="C431" s="5" t="s">
        <v>768</v>
      </c>
      <c r="D431" s="5" t="s">
        <v>355</v>
      </c>
      <c r="E431" s="4" t="str">
        <f>"0097143351192"</f>
        <v>0097143351192</v>
      </c>
      <c r="F431" s="2" t="s">
        <v>12</v>
      </c>
      <c r="G431" s="2" t="s">
        <v>13</v>
      </c>
      <c r="H431" t="s">
        <v>14</v>
      </c>
      <c r="I431" s="1">
        <v>46086</v>
      </c>
      <c r="J431" t="s">
        <v>769</v>
      </c>
    </row>
    <row r="432" spans="1:10" x14ac:dyDescent="0.25">
      <c r="A432" s="3">
        <v>46086</v>
      </c>
      <c r="B432" s="5" t="s">
        <v>770</v>
      </c>
      <c r="C432" s="5" t="s">
        <v>770</v>
      </c>
      <c r="D432" s="5" t="s">
        <v>355</v>
      </c>
      <c r="E432" s="4" t="str">
        <f>"0097143990844"</f>
        <v>0097143990844</v>
      </c>
      <c r="F432" s="2" t="s">
        <v>12</v>
      </c>
      <c r="G432" s="2" t="s">
        <v>13</v>
      </c>
      <c r="H432" t="s">
        <v>14</v>
      </c>
      <c r="I432" s="1">
        <v>46086</v>
      </c>
      <c r="J432" t="s">
        <v>771</v>
      </c>
    </row>
    <row r="433" spans="1:10" x14ac:dyDescent="0.25">
      <c r="A433" s="3">
        <v>46086</v>
      </c>
      <c r="B433" s="5" t="s">
        <v>772</v>
      </c>
      <c r="C433" s="5" t="s">
        <v>772</v>
      </c>
      <c r="D433" s="5" t="s">
        <v>355</v>
      </c>
      <c r="E433" s="4" t="str">
        <f>"0097143307660"</f>
        <v>0097143307660</v>
      </c>
      <c r="F433" s="2" t="s">
        <v>12</v>
      </c>
      <c r="G433" s="2" t="s">
        <v>13</v>
      </c>
      <c r="H433" t="s">
        <v>14</v>
      </c>
      <c r="I433" s="1">
        <v>46086</v>
      </c>
      <c r="J433" t="s">
        <v>773</v>
      </c>
    </row>
    <row r="434" spans="1:10" x14ac:dyDescent="0.25">
      <c r="A434" s="3">
        <v>46086</v>
      </c>
      <c r="B434" s="5" t="s">
        <v>774</v>
      </c>
      <c r="C434" s="5" t="s">
        <v>774</v>
      </c>
      <c r="D434" s="5" t="s">
        <v>355</v>
      </c>
      <c r="E434" s="4" t="str">
        <f>"0097142225958"</f>
        <v>0097142225958</v>
      </c>
      <c r="F434" s="2" t="s">
        <v>12</v>
      </c>
      <c r="G434" s="2" t="s">
        <v>13</v>
      </c>
      <c r="H434" t="s">
        <v>14</v>
      </c>
      <c r="I434" s="1">
        <v>46086</v>
      </c>
      <c r="J434" t="s">
        <v>775</v>
      </c>
    </row>
    <row r="435" spans="1:10" x14ac:dyDescent="0.25">
      <c r="A435" s="3">
        <v>46086</v>
      </c>
      <c r="B435" s="5" t="s">
        <v>776</v>
      </c>
      <c r="C435" s="5" t="s">
        <v>776</v>
      </c>
      <c r="D435" s="5" t="s">
        <v>355</v>
      </c>
      <c r="E435" s="4" t="str">
        <f>"0097144371618"</f>
        <v>0097144371618</v>
      </c>
      <c r="F435" s="2" t="s">
        <v>12</v>
      </c>
      <c r="G435" s="2" t="s">
        <v>13</v>
      </c>
      <c r="H435" t="s">
        <v>14</v>
      </c>
      <c r="I435" s="1">
        <v>46086</v>
      </c>
      <c r="J435" t="s">
        <v>777</v>
      </c>
    </row>
    <row r="436" spans="1:10" x14ac:dyDescent="0.25">
      <c r="A436" s="3">
        <v>46086</v>
      </c>
      <c r="B436" s="5" t="s">
        <v>778</v>
      </c>
      <c r="C436" s="5" t="s">
        <v>778</v>
      </c>
      <c r="D436" s="5" t="s">
        <v>355</v>
      </c>
      <c r="E436" s="4" t="str">
        <f>"0097142714044"</f>
        <v>0097142714044</v>
      </c>
      <c r="F436" s="2" t="s">
        <v>12</v>
      </c>
      <c r="G436" s="2" t="s">
        <v>13</v>
      </c>
      <c r="H436" t="s">
        <v>14</v>
      </c>
      <c r="I436" s="1">
        <v>46086</v>
      </c>
      <c r="J436" t="s">
        <v>779</v>
      </c>
    </row>
    <row r="437" spans="1:10" x14ac:dyDescent="0.25">
      <c r="A437" s="3">
        <v>46086</v>
      </c>
      <c r="B437" s="5" t="s">
        <v>247</v>
      </c>
      <c r="C437" s="5" t="s">
        <v>247</v>
      </c>
      <c r="D437" s="5" t="s">
        <v>355</v>
      </c>
      <c r="E437" s="4" t="str">
        <f>"0097142354499"</f>
        <v>0097142354499</v>
      </c>
      <c r="F437" s="2" t="s">
        <v>12</v>
      </c>
      <c r="G437" s="2" t="s">
        <v>13</v>
      </c>
      <c r="H437" t="s">
        <v>14</v>
      </c>
      <c r="I437" s="1">
        <v>46086</v>
      </c>
      <c r="J437" t="s">
        <v>780</v>
      </c>
    </row>
    <row r="438" spans="1:10" x14ac:dyDescent="0.25">
      <c r="A438" s="3">
        <v>46086</v>
      </c>
      <c r="B438" s="5" t="s">
        <v>781</v>
      </c>
      <c r="C438" s="5" t="s">
        <v>781</v>
      </c>
      <c r="D438" s="5" t="s">
        <v>355</v>
      </c>
      <c r="E438" s="4" t="str">
        <f>"0097144211045"</f>
        <v>0097144211045</v>
      </c>
      <c r="F438" s="2" t="s">
        <v>12</v>
      </c>
      <c r="G438" s="2" t="s">
        <v>13</v>
      </c>
      <c r="H438" t="s">
        <v>14</v>
      </c>
      <c r="I438" s="1">
        <v>46086</v>
      </c>
      <c r="J438" t="s">
        <v>782</v>
      </c>
    </row>
    <row r="439" spans="1:10" x14ac:dyDescent="0.25">
      <c r="A439" s="3">
        <v>46086</v>
      </c>
      <c r="B439" s="5" t="s">
        <v>783</v>
      </c>
      <c r="C439" s="5" t="s">
        <v>783</v>
      </c>
      <c r="D439" s="5" t="s">
        <v>355</v>
      </c>
      <c r="E439" s="4" t="str">
        <f>"0097143476663"</f>
        <v>0097143476663</v>
      </c>
      <c r="F439" s="2" t="s">
        <v>12</v>
      </c>
      <c r="G439" s="2" t="s">
        <v>13</v>
      </c>
      <c r="H439" t="s">
        <v>14</v>
      </c>
      <c r="I439" s="1">
        <v>46086</v>
      </c>
      <c r="J439" t="s">
        <v>784</v>
      </c>
    </row>
    <row r="440" spans="1:10" x14ac:dyDescent="0.25">
      <c r="A440" s="3">
        <v>46086</v>
      </c>
      <c r="B440" s="5" t="s">
        <v>783</v>
      </c>
      <c r="C440" s="5" t="s">
        <v>783</v>
      </c>
      <c r="D440" s="5" t="s">
        <v>355</v>
      </c>
      <c r="E440" s="4" t="str">
        <f>"00971503838411"</f>
        <v>00971503838411</v>
      </c>
      <c r="F440" s="2" t="s">
        <v>12</v>
      </c>
      <c r="G440" s="2" t="s">
        <v>13</v>
      </c>
      <c r="H440" t="s">
        <v>14</v>
      </c>
      <c r="I440" s="1">
        <v>46086</v>
      </c>
      <c r="J440" t="s">
        <v>785</v>
      </c>
    </row>
    <row r="441" spans="1:10" x14ac:dyDescent="0.25">
      <c r="A441" s="3">
        <v>46086</v>
      </c>
      <c r="B441" s="5" t="s">
        <v>786</v>
      </c>
      <c r="C441" s="5" t="s">
        <v>786</v>
      </c>
      <c r="D441" s="5" t="s">
        <v>355</v>
      </c>
      <c r="E441" s="4" t="str">
        <f>"0097143968242"</f>
        <v>0097143968242</v>
      </c>
      <c r="F441" s="2" t="s">
        <v>12</v>
      </c>
      <c r="G441" s="2" t="s">
        <v>13</v>
      </c>
      <c r="H441" t="s">
        <v>14</v>
      </c>
      <c r="I441" s="1">
        <v>46086</v>
      </c>
      <c r="J441" t="s">
        <v>787</v>
      </c>
    </row>
    <row r="442" spans="1:10" x14ac:dyDescent="0.25">
      <c r="A442" s="3">
        <v>46086</v>
      </c>
      <c r="B442" s="5" t="s">
        <v>786</v>
      </c>
      <c r="C442" s="5" t="s">
        <v>786</v>
      </c>
      <c r="D442" s="5" t="s">
        <v>355</v>
      </c>
      <c r="E442" s="4" t="str">
        <f>"00971503547404"</f>
        <v>00971503547404</v>
      </c>
      <c r="F442" s="2" t="s">
        <v>12</v>
      </c>
      <c r="G442" s="2" t="s">
        <v>13</v>
      </c>
      <c r="H442" t="s">
        <v>14</v>
      </c>
      <c r="I442" s="1">
        <v>46086</v>
      </c>
      <c r="J442" t="s">
        <v>788</v>
      </c>
    </row>
    <row r="443" spans="1:10" x14ac:dyDescent="0.25">
      <c r="A443" s="3">
        <v>46086</v>
      </c>
      <c r="B443" s="5" t="s">
        <v>789</v>
      </c>
      <c r="C443" s="5" t="s">
        <v>789</v>
      </c>
      <c r="D443" s="5" t="s">
        <v>355</v>
      </c>
      <c r="E443" s="4" t="str">
        <f>"0097143330003"</f>
        <v>0097143330003</v>
      </c>
      <c r="F443" s="2" t="s">
        <v>12</v>
      </c>
      <c r="G443" s="2" t="s">
        <v>13</v>
      </c>
      <c r="H443" t="s">
        <v>14</v>
      </c>
      <c r="I443" s="1">
        <v>46086</v>
      </c>
      <c r="J443" t="s">
        <v>790</v>
      </c>
    </row>
    <row r="444" spans="1:10" x14ac:dyDescent="0.25">
      <c r="A444" s="3">
        <v>46086</v>
      </c>
      <c r="B444" s="5" t="s">
        <v>791</v>
      </c>
      <c r="C444" s="5" t="s">
        <v>791</v>
      </c>
      <c r="D444" s="5" t="s">
        <v>355</v>
      </c>
      <c r="E444" s="4" t="str">
        <f>"0097142594141"</f>
        <v>0097142594141</v>
      </c>
      <c r="F444" s="2" t="s">
        <v>12</v>
      </c>
      <c r="G444" s="2" t="s">
        <v>13</v>
      </c>
      <c r="H444" t="s">
        <v>14</v>
      </c>
      <c r="I444" s="1">
        <v>46086</v>
      </c>
      <c r="J444" t="s">
        <v>792</v>
      </c>
    </row>
    <row r="445" spans="1:10" x14ac:dyDescent="0.25">
      <c r="A445" s="3">
        <v>46086</v>
      </c>
      <c r="B445" s="5" t="s">
        <v>793</v>
      </c>
      <c r="C445" s="5" t="s">
        <v>793</v>
      </c>
      <c r="D445" s="5" t="s">
        <v>355</v>
      </c>
      <c r="E445" s="4" t="str">
        <f>"0097142279727"</f>
        <v>0097142279727</v>
      </c>
      <c r="F445" s="2" t="s">
        <v>12</v>
      </c>
      <c r="G445" s="2" t="s">
        <v>13</v>
      </c>
      <c r="H445" t="s">
        <v>14</v>
      </c>
      <c r="I445" s="1">
        <v>46086</v>
      </c>
      <c r="J445" t="s">
        <v>794</v>
      </c>
    </row>
    <row r="446" spans="1:10" x14ac:dyDescent="0.25">
      <c r="A446" s="3">
        <v>46086</v>
      </c>
      <c r="B446" s="5" t="s">
        <v>795</v>
      </c>
      <c r="C446" s="5" t="s">
        <v>795</v>
      </c>
      <c r="D446" s="5" t="s">
        <v>355</v>
      </c>
      <c r="E446" s="4" t="str">
        <f>"0097142590372"</f>
        <v>0097142590372</v>
      </c>
      <c r="F446" s="2" t="s">
        <v>12</v>
      </c>
      <c r="G446" s="2" t="s">
        <v>13</v>
      </c>
      <c r="H446" t="s">
        <v>14</v>
      </c>
      <c r="I446" s="1">
        <v>46086</v>
      </c>
      <c r="J446" t="s">
        <v>796</v>
      </c>
    </row>
    <row r="447" spans="1:10" x14ac:dyDescent="0.25">
      <c r="A447" s="3">
        <v>46086</v>
      </c>
      <c r="B447" s="5" t="s">
        <v>797</v>
      </c>
      <c r="C447" s="5" t="s">
        <v>797</v>
      </c>
      <c r="D447" s="5" t="s">
        <v>355</v>
      </c>
      <c r="E447" s="4" t="str">
        <f>"0097143528464"</f>
        <v>0097143528464</v>
      </c>
      <c r="F447" s="2" t="s">
        <v>12</v>
      </c>
      <c r="G447" s="2" t="s">
        <v>13</v>
      </c>
      <c r="H447" t="s">
        <v>14</v>
      </c>
      <c r="I447" s="1">
        <v>46086</v>
      </c>
      <c r="J447" t="s">
        <v>798</v>
      </c>
    </row>
    <row r="448" spans="1:10" x14ac:dyDescent="0.25">
      <c r="A448" s="3">
        <v>46086</v>
      </c>
      <c r="B448" s="5" t="s">
        <v>799</v>
      </c>
      <c r="C448" s="5" t="s">
        <v>799</v>
      </c>
      <c r="D448" s="5" t="s">
        <v>355</v>
      </c>
      <c r="E448" s="4" t="str">
        <f>"0097142655299"</f>
        <v>0097142655299</v>
      </c>
      <c r="F448" s="2" t="s">
        <v>12</v>
      </c>
      <c r="G448" s="2" t="s">
        <v>13</v>
      </c>
      <c r="H448" t="s">
        <v>14</v>
      </c>
      <c r="I448" s="1">
        <v>46086</v>
      </c>
      <c r="J448" t="s">
        <v>800</v>
      </c>
    </row>
    <row r="449" spans="1:10" x14ac:dyDescent="0.25">
      <c r="A449" s="3">
        <v>46086</v>
      </c>
      <c r="B449" s="5" t="s">
        <v>801</v>
      </c>
      <c r="C449" s="5" t="s">
        <v>801</v>
      </c>
      <c r="D449" s="5" t="s">
        <v>355</v>
      </c>
      <c r="E449" s="4" t="str">
        <f>"0097143916360"</f>
        <v>0097143916360</v>
      </c>
      <c r="F449" s="2" t="s">
        <v>12</v>
      </c>
      <c r="G449" s="2" t="s">
        <v>13</v>
      </c>
      <c r="H449" t="s">
        <v>14</v>
      </c>
      <c r="I449" s="1">
        <v>46086</v>
      </c>
      <c r="J449" t="s">
        <v>802</v>
      </c>
    </row>
    <row r="450" spans="1:10" x14ac:dyDescent="0.25">
      <c r="A450" s="3">
        <v>46086</v>
      </c>
      <c r="B450" s="5" t="s">
        <v>803</v>
      </c>
      <c r="C450" s="5" t="s">
        <v>803</v>
      </c>
      <c r="D450" s="5" t="s">
        <v>355</v>
      </c>
      <c r="E450" s="4" t="str">
        <f>"0097143214887"</f>
        <v>0097143214887</v>
      </c>
      <c r="F450" s="2" t="s">
        <v>12</v>
      </c>
      <c r="G450" s="2" t="s">
        <v>13</v>
      </c>
      <c r="H450" t="s">
        <v>14</v>
      </c>
      <c r="I450" s="1">
        <v>46086</v>
      </c>
      <c r="J450" t="s">
        <v>804</v>
      </c>
    </row>
    <row r="451" spans="1:10" x14ac:dyDescent="0.25">
      <c r="A451" s="3">
        <v>46086</v>
      </c>
      <c r="B451" s="5" t="s">
        <v>803</v>
      </c>
      <c r="C451" s="5" t="s">
        <v>803</v>
      </c>
      <c r="D451" s="5" t="s">
        <v>355</v>
      </c>
      <c r="E451" s="4" t="str">
        <f>"00971507481047"</f>
        <v>00971507481047</v>
      </c>
      <c r="F451" s="2" t="s">
        <v>12</v>
      </c>
      <c r="G451" s="2" t="s">
        <v>13</v>
      </c>
      <c r="H451" t="s">
        <v>14</v>
      </c>
      <c r="I451" s="1">
        <v>46086</v>
      </c>
      <c r="J451" t="s">
        <v>805</v>
      </c>
    </row>
    <row r="452" spans="1:10" x14ac:dyDescent="0.25">
      <c r="A452" s="3">
        <v>46086</v>
      </c>
      <c r="B452" s="5" t="s">
        <v>806</v>
      </c>
      <c r="C452" s="5" t="s">
        <v>806</v>
      </c>
      <c r="D452" s="5" t="s">
        <v>355</v>
      </c>
      <c r="E452" s="4" t="str">
        <f>"0097142721463"</f>
        <v>0097142721463</v>
      </c>
      <c r="F452" s="2" t="s">
        <v>12</v>
      </c>
      <c r="G452" s="2" t="s">
        <v>13</v>
      </c>
      <c r="H452" t="s">
        <v>14</v>
      </c>
      <c r="I452" s="1">
        <v>46086</v>
      </c>
      <c r="J452" t="s">
        <v>807</v>
      </c>
    </row>
    <row r="453" spans="1:10" x14ac:dyDescent="0.25">
      <c r="A453" s="3">
        <v>46086</v>
      </c>
      <c r="B453" s="5" t="s">
        <v>808</v>
      </c>
      <c r="C453" s="5" t="s">
        <v>808</v>
      </c>
      <c r="D453" s="5" t="s">
        <v>355</v>
      </c>
      <c r="E453" s="4" t="str">
        <f>"0097142736260"</f>
        <v>0097142736260</v>
      </c>
      <c r="F453" s="2" t="s">
        <v>12</v>
      </c>
      <c r="G453" s="2" t="s">
        <v>13</v>
      </c>
      <c r="H453" t="s">
        <v>14</v>
      </c>
      <c r="I453" s="1">
        <v>46086</v>
      </c>
      <c r="J453" t="s">
        <v>809</v>
      </c>
    </row>
    <row r="454" spans="1:10" x14ac:dyDescent="0.25">
      <c r="A454" s="3">
        <v>46086</v>
      </c>
      <c r="B454" s="5" t="s">
        <v>810</v>
      </c>
      <c r="C454" s="5" t="s">
        <v>810</v>
      </c>
      <c r="D454" s="5" t="s">
        <v>355</v>
      </c>
      <c r="E454" s="4" t="str">
        <f>"0097142232811"</f>
        <v>0097142232811</v>
      </c>
      <c r="F454" s="2" t="s">
        <v>12</v>
      </c>
      <c r="G454" s="2" t="s">
        <v>13</v>
      </c>
      <c r="H454" t="s">
        <v>14</v>
      </c>
      <c r="I454" s="1">
        <v>46086</v>
      </c>
      <c r="J454" t="s">
        <v>811</v>
      </c>
    </row>
    <row r="455" spans="1:10" x14ac:dyDescent="0.25">
      <c r="A455" s="3">
        <v>46086</v>
      </c>
      <c r="B455" s="5" t="s">
        <v>810</v>
      </c>
      <c r="C455" s="5" t="s">
        <v>810</v>
      </c>
      <c r="D455" s="5" t="s">
        <v>355</v>
      </c>
      <c r="E455" s="4" t="str">
        <f>"00971561300123"</f>
        <v>00971561300123</v>
      </c>
      <c r="F455" s="2" t="s">
        <v>12</v>
      </c>
      <c r="G455" s="2" t="s">
        <v>13</v>
      </c>
      <c r="H455" t="s">
        <v>14</v>
      </c>
      <c r="I455" s="1">
        <v>46086</v>
      </c>
      <c r="J455" t="s">
        <v>812</v>
      </c>
    </row>
    <row r="456" spans="1:10" x14ac:dyDescent="0.25">
      <c r="A456" s="3">
        <v>46086</v>
      </c>
      <c r="B456" s="5" t="s">
        <v>813</v>
      </c>
      <c r="C456" s="5" t="s">
        <v>813</v>
      </c>
      <c r="D456" s="5" t="s">
        <v>355</v>
      </c>
      <c r="E456" s="4" t="str">
        <f>"0097142241951"</f>
        <v>0097142241951</v>
      </c>
      <c r="F456" s="2" t="s">
        <v>12</v>
      </c>
      <c r="G456" s="2" t="s">
        <v>13</v>
      </c>
      <c r="H456" t="s">
        <v>14</v>
      </c>
      <c r="I456" s="1">
        <v>46086</v>
      </c>
      <c r="J456" t="s">
        <v>814</v>
      </c>
    </row>
    <row r="457" spans="1:10" x14ac:dyDescent="0.25">
      <c r="A457" s="3">
        <v>46086</v>
      </c>
      <c r="B457" s="5" t="s">
        <v>815</v>
      </c>
      <c r="C457" s="5" t="s">
        <v>815</v>
      </c>
      <c r="D457" s="5" t="s">
        <v>355</v>
      </c>
      <c r="E457" s="4" t="str">
        <f>"0097143808080"</f>
        <v>0097143808080</v>
      </c>
      <c r="F457" s="2" t="s">
        <v>12</v>
      </c>
      <c r="G457" s="2" t="s">
        <v>13</v>
      </c>
      <c r="H457" t="s">
        <v>14</v>
      </c>
      <c r="I457" s="1">
        <v>46086</v>
      </c>
      <c r="J457" t="s">
        <v>816</v>
      </c>
    </row>
    <row r="458" spans="1:10" x14ac:dyDescent="0.25">
      <c r="A458" s="3">
        <v>46086</v>
      </c>
      <c r="B458" s="5" t="s">
        <v>817</v>
      </c>
      <c r="C458" s="5" t="s">
        <v>817</v>
      </c>
      <c r="D458" s="5" t="s">
        <v>355</v>
      </c>
      <c r="E458" s="4" t="str">
        <f>"0097142946972"</f>
        <v>0097142946972</v>
      </c>
      <c r="F458" s="2" t="s">
        <v>12</v>
      </c>
      <c r="G458" s="2" t="s">
        <v>13</v>
      </c>
      <c r="H458" t="s">
        <v>14</v>
      </c>
      <c r="I458" s="1">
        <v>46086</v>
      </c>
      <c r="J458" t="s">
        <v>818</v>
      </c>
    </row>
    <row r="459" spans="1:10" x14ac:dyDescent="0.25">
      <c r="A459" s="3">
        <v>46086</v>
      </c>
      <c r="B459" s="5" t="s">
        <v>819</v>
      </c>
      <c r="C459" s="5" t="s">
        <v>819</v>
      </c>
      <c r="D459" s="5" t="s">
        <v>355</v>
      </c>
      <c r="E459" s="4" t="str">
        <f>"0097143804456"</f>
        <v>0097143804456</v>
      </c>
      <c r="F459" s="2" t="s">
        <v>12</v>
      </c>
      <c r="G459" s="2" t="s">
        <v>13</v>
      </c>
      <c r="H459" t="s">
        <v>14</v>
      </c>
      <c r="I459" s="1">
        <v>46086</v>
      </c>
      <c r="J459" t="s">
        <v>820</v>
      </c>
    </row>
    <row r="460" spans="1:10" x14ac:dyDescent="0.25">
      <c r="A460" s="3">
        <v>46086</v>
      </c>
      <c r="B460" s="5" t="s">
        <v>821</v>
      </c>
      <c r="C460" s="5" t="s">
        <v>821</v>
      </c>
      <c r="D460" s="5" t="s">
        <v>355</v>
      </c>
      <c r="E460" s="4" t="str">
        <f>"0097142246450"</f>
        <v>0097142246450</v>
      </c>
      <c r="F460" s="2" t="s">
        <v>12</v>
      </c>
      <c r="G460" s="2" t="s">
        <v>13</v>
      </c>
      <c r="H460" t="s">
        <v>14</v>
      </c>
      <c r="I460" s="1">
        <v>46086</v>
      </c>
      <c r="J460" t="s">
        <v>822</v>
      </c>
    </row>
    <row r="461" spans="1:10" x14ac:dyDescent="0.25">
      <c r="A461" s="3">
        <v>46086</v>
      </c>
      <c r="B461" s="5" t="s">
        <v>823</v>
      </c>
      <c r="C461" s="5" t="s">
        <v>823</v>
      </c>
      <c r="D461" s="5" t="s">
        <v>355</v>
      </c>
      <c r="E461" s="4" t="str">
        <f>"0097142279311"</f>
        <v>0097142279311</v>
      </c>
      <c r="F461" s="2" t="s">
        <v>12</v>
      </c>
      <c r="G461" s="2" t="s">
        <v>13</v>
      </c>
      <c r="H461" t="s">
        <v>14</v>
      </c>
      <c r="I461" s="1">
        <v>46086</v>
      </c>
      <c r="J461" t="s">
        <v>824</v>
      </c>
    </row>
    <row r="462" spans="1:10" x14ac:dyDescent="0.25">
      <c r="A462" s="3">
        <v>46086</v>
      </c>
      <c r="B462" s="5" t="s">
        <v>825</v>
      </c>
      <c r="C462" s="5" t="s">
        <v>825</v>
      </c>
      <c r="D462" s="5" t="s">
        <v>355</v>
      </c>
      <c r="E462" s="4" t="str">
        <f>"00971553028888"</f>
        <v>00971553028888</v>
      </c>
      <c r="F462" s="2" t="s">
        <v>12</v>
      </c>
      <c r="G462" s="2" t="s">
        <v>13</v>
      </c>
      <c r="H462" t="s">
        <v>14</v>
      </c>
      <c r="I462" s="1">
        <v>46086</v>
      </c>
      <c r="J462" t="s">
        <v>826</v>
      </c>
    </row>
    <row r="463" spans="1:10" x14ac:dyDescent="0.25">
      <c r="A463" s="3">
        <v>46086</v>
      </c>
      <c r="B463" s="5" t="s">
        <v>827</v>
      </c>
      <c r="C463" s="5" t="s">
        <v>827</v>
      </c>
      <c r="D463" s="5" t="s">
        <v>355</v>
      </c>
      <c r="E463" s="4" t="str">
        <f>"0097143791290"</f>
        <v>0097143791290</v>
      </c>
      <c r="F463" s="2" t="s">
        <v>12</v>
      </c>
      <c r="G463" s="2" t="s">
        <v>13</v>
      </c>
      <c r="H463" t="s">
        <v>14</v>
      </c>
      <c r="I463" s="1">
        <v>46086</v>
      </c>
      <c r="J463" t="s">
        <v>828</v>
      </c>
    </row>
    <row r="464" spans="1:10" x14ac:dyDescent="0.25">
      <c r="A464" s="3">
        <v>46086</v>
      </c>
      <c r="B464" s="5" t="s">
        <v>829</v>
      </c>
      <c r="C464" s="5" t="s">
        <v>829</v>
      </c>
      <c r="D464" s="5" t="s">
        <v>355</v>
      </c>
      <c r="E464" s="4" t="str">
        <f>"0097142109100"</f>
        <v>0097142109100</v>
      </c>
      <c r="F464" s="2" t="s">
        <v>12</v>
      </c>
      <c r="G464" s="2" t="s">
        <v>13</v>
      </c>
      <c r="H464" t="s">
        <v>14</v>
      </c>
      <c r="I464" s="1">
        <v>46086</v>
      </c>
      <c r="J464" t="s">
        <v>830</v>
      </c>
    </row>
    <row r="465" spans="1:10" x14ac:dyDescent="0.25">
      <c r="A465" s="3">
        <v>46086</v>
      </c>
      <c r="B465" s="5" t="s">
        <v>829</v>
      </c>
      <c r="C465" s="5" t="s">
        <v>829</v>
      </c>
      <c r="D465" s="5" t="s">
        <v>355</v>
      </c>
      <c r="E465" s="4" t="str">
        <f>"00971502125898"</f>
        <v>00971502125898</v>
      </c>
      <c r="F465" s="2" t="s">
        <v>12</v>
      </c>
      <c r="G465" s="2" t="s">
        <v>13</v>
      </c>
      <c r="H465" t="s">
        <v>14</v>
      </c>
      <c r="I465" s="1">
        <v>46086</v>
      </c>
      <c r="J465" t="s">
        <v>831</v>
      </c>
    </row>
    <row r="466" spans="1:10" x14ac:dyDescent="0.25">
      <c r="A466" s="3">
        <v>46086</v>
      </c>
      <c r="B466" s="5" t="s">
        <v>829</v>
      </c>
      <c r="C466" s="5" t="s">
        <v>829</v>
      </c>
      <c r="D466" s="5" t="s">
        <v>355</v>
      </c>
      <c r="E466" s="4" t="str">
        <f>"00971562040553"</f>
        <v>00971562040553</v>
      </c>
      <c r="F466" s="2" t="s">
        <v>12</v>
      </c>
      <c r="G466" s="2" t="s">
        <v>13</v>
      </c>
      <c r="H466" t="s">
        <v>14</v>
      </c>
      <c r="I466" s="1">
        <v>46086</v>
      </c>
      <c r="J466" t="s">
        <v>831</v>
      </c>
    </row>
    <row r="467" spans="1:10" x14ac:dyDescent="0.25">
      <c r="A467" s="3">
        <v>46086</v>
      </c>
      <c r="B467" s="5" t="s">
        <v>832</v>
      </c>
      <c r="C467" s="5" t="s">
        <v>832</v>
      </c>
      <c r="D467" s="5" t="s">
        <v>355</v>
      </c>
      <c r="E467" s="4" t="str">
        <f>"00971543470278"</f>
        <v>00971543470278</v>
      </c>
      <c r="F467" s="2" t="s">
        <v>12</v>
      </c>
      <c r="G467" s="2" t="s">
        <v>13</v>
      </c>
      <c r="H467" t="s">
        <v>14</v>
      </c>
      <c r="I467" s="1">
        <v>46086</v>
      </c>
      <c r="J467" t="s">
        <v>833</v>
      </c>
    </row>
    <row r="468" spans="1:10" x14ac:dyDescent="0.25">
      <c r="A468" s="3">
        <v>46086</v>
      </c>
      <c r="B468" s="5" t="s">
        <v>834</v>
      </c>
      <c r="C468" s="5" t="s">
        <v>834</v>
      </c>
      <c r="D468" s="5" t="s">
        <v>355</v>
      </c>
      <c r="E468" s="4" t="str">
        <f>"0097142853834"</f>
        <v>0097142853834</v>
      </c>
      <c r="F468" s="2" t="s">
        <v>12</v>
      </c>
      <c r="G468" s="2" t="s">
        <v>13</v>
      </c>
      <c r="H468" t="s">
        <v>14</v>
      </c>
      <c r="I468" s="1">
        <v>46086</v>
      </c>
      <c r="J468" t="s">
        <v>835</v>
      </c>
    </row>
    <row r="469" spans="1:10" x14ac:dyDescent="0.25">
      <c r="A469" s="3">
        <v>46086</v>
      </c>
      <c r="B469" s="5" t="s">
        <v>836</v>
      </c>
      <c r="C469" s="5" t="s">
        <v>836</v>
      </c>
      <c r="D469" s="5" t="s">
        <v>355</v>
      </c>
      <c r="E469" s="4" t="str">
        <f>"0097143433074"</f>
        <v>0097143433074</v>
      </c>
      <c r="F469" s="2" t="s">
        <v>12</v>
      </c>
      <c r="G469" s="2" t="s">
        <v>13</v>
      </c>
      <c r="H469" t="s">
        <v>14</v>
      </c>
      <c r="I469" s="1">
        <v>46086</v>
      </c>
      <c r="J469" t="s">
        <v>837</v>
      </c>
    </row>
    <row r="470" spans="1:10" x14ac:dyDescent="0.25">
      <c r="A470" s="3">
        <v>46086</v>
      </c>
      <c r="B470" s="5" t="s">
        <v>838</v>
      </c>
      <c r="C470" s="5" t="s">
        <v>838</v>
      </c>
      <c r="D470" s="5" t="s">
        <v>355</v>
      </c>
      <c r="E470" s="4" t="str">
        <f>"0097142567440"</f>
        <v>0097142567440</v>
      </c>
      <c r="F470" s="2" t="s">
        <v>12</v>
      </c>
      <c r="G470" s="2" t="s">
        <v>13</v>
      </c>
      <c r="H470" t="s">
        <v>14</v>
      </c>
      <c r="I470" s="1">
        <v>46086</v>
      </c>
      <c r="J470" t="s">
        <v>839</v>
      </c>
    </row>
    <row r="471" spans="1:10" x14ac:dyDescent="0.25">
      <c r="A471" s="3">
        <v>46086</v>
      </c>
      <c r="B471" s="5" t="s">
        <v>840</v>
      </c>
      <c r="C471" s="5" t="s">
        <v>840</v>
      </c>
      <c r="D471" s="5" t="s">
        <v>355</v>
      </c>
      <c r="E471" s="4" t="str">
        <f>"0097144564662"</f>
        <v>0097144564662</v>
      </c>
      <c r="F471" s="2" t="s">
        <v>12</v>
      </c>
      <c r="G471" s="2" t="s">
        <v>13</v>
      </c>
      <c r="H471" t="s">
        <v>14</v>
      </c>
      <c r="I471" s="1">
        <v>46086</v>
      </c>
      <c r="J471" t="s">
        <v>841</v>
      </c>
    </row>
    <row r="472" spans="1:10" x14ac:dyDescent="0.25">
      <c r="A472" s="3">
        <v>46086</v>
      </c>
      <c r="B472" s="5" t="s">
        <v>842</v>
      </c>
      <c r="C472" s="5" t="s">
        <v>842</v>
      </c>
      <c r="D472" s="5" t="s">
        <v>355</v>
      </c>
      <c r="E472" s="4" t="str">
        <f>"0097142501043"</f>
        <v>0097142501043</v>
      </c>
      <c r="F472" s="2" t="s">
        <v>12</v>
      </c>
      <c r="G472" s="2" t="s">
        <v>13</v>
      </c>
      <c r="H472" t="s">
        <v>14</v>
      </c>
      <c r="I472" s="1">
        <v>46086</v>
      </c>
      <c r="J472" t="s">
        <v>843</v>
      </c>
    </row>
    <row r="473" spans="1:10" x14ac:dyDescent="0.25">
      <c r="A473" s="3">
        <v>46086</v>
      </c>
      <c r="B473" s="5" t="s">
        <v>844</v>
      </c>
      <c r="C473" s="5" t="s">
        <v>844</v>
      </c>
      <c r="D473" s="5" t="s">
        <v>355</v>
      </c>
      <c r="E473" s="4" t="str">
        <f>"0097143930775"</f>
        <v>0097143930775</v>
      </c>
      <c r="F473" s="2" t="s">
        <v>12</v>
      </c>
      <c r="G473" s="2" t="s">
        <v>13</v>
      </c>
      <c r="H473" t="s">
        <v>14</v>
      </c>
      <c r="I473" s="1">
        <v>46086</v>
      </c>
      <c r="J473" t="s">
        <v>845</v>
      </c>
    </row>
    <row r="474" spans="1:10" x14ac:dyDescent="0.25">
      <c r="A474" s="3">
        <v>46086</v>
      </c>
      <c r="B474" s="5" t="s">
        <v>846</v>
      </c>
      <c r="C474" s="5" t="s">
        <v>846</v>
      </c>
      <c r="D474" s="5" t="s">
        <v>355</v>
      </c>
      <c r="E474" s="4" t="str">
        <f>"0097142241991"</f>
        <v>0097142241991</v>
      </c>
      <c r="F474" s="2" t="s">
        <v>12</v>
      </c>
      <c r="G474" s="2" t="s">
        <v>13</v>
      </c>
      <c r="H474" t="s">
        <v>14</v>
      </c>
      <c r="I474" s="1">
        <v>46086</v>
      </c>
      <c r="J474" t="s">
        <v>847</v>
      </c>
    </row>
    <row r="475" spans="1:10" x14ac:dyDescent="0.25">
      <c r="A475" s="3">
        <v>46086</v>
      </c>
      <c r="B475" s="5" t="s">
        <v>848</v>
      </c>
      <c r="C475" s="5" t="s">
        <v>848</v>
      </c>
      <c r="D475" s="5" t="s">
        <v>355</v>
      </c>
      <c r="E475" s="4" t="str">
        <f>"0097142959536"</f>
        <v>0097142959536</v>
      </c>
      <c r="F475" s="2" t="s">
        <v>12</v>
      </c>
      <c r="G475" s="2" t="s">
        <v>13</v>
      </c>
      <c r="H475" t="s">
        <v>14</v>
      </c>
      <c r="I475" s="1">
        <v>46086</v>
      </c>
      <c r="J475" t="s">
        <v>849</v>
      </c>
    </row>
    <row r="476" spans="1:10" x14ac:dyDescent="0.25">
      <c r="A476" s="3">
        <v>46086</v>
      </c>
      <c r="B476" s="5" t="s">
        <v>850</v>
      </c>
      <c r="C476" s="5" t="s">
        <v>850</v>
      </c>
      <c r="D476" s="5" t="s">
        <v>355</v>
      </c>
      <c r="E476" s="4" t="str">
        <f>"00971566090684"</f>
        <v>00971566090684</v>
      </c>
      <c r="F476" s="2" t="s">
        <v>12</v>
      </c>
      <c r="G476" s="2" t="s">
        <v>13</v>
      </c>
      <c r="H476" t="s">
        <v>14</v>
      </c>
      <c r="I476" s="1">
        <v>46086</v>
      </c>
      <c r="J476" t="s">
        <v>851</v>
      </c>
    </row>
    <row r="477" spans="1:10" x14ac:dyDescent="0.25">
      <c r="A477" s="3">
        <v>46086</v>
      </c>
      <c r="B477" s="5" t="s">
        <v>852</v>
      </c>
      <c r="C477" s="5" t="s">
        <v>852</v>
      </c>
      <c r="D477" s="5" t="s">
        <v>355</v>
      </c>
      <c r="E477" s="4" t="str">
        <f>"0097142563651"</f>
        <v>0097142563651</v>
      </c>
      <c r="F477" s="2" t="s">
        <v>12</v>
      </c>
      <c r="G477" s="2" t="s">
        <v>13</v>
      </c>
      <c r="H477" t="s">
        <v>14</v>
      </c>
      <c r="I477" s="1">
        <v>46086</v>
      </c>
      <c r="J477" t="s">
        <v>853</v>
      </c>
    </row>
    <row r="478" spans="1:10" x14ac:dyDescent="0.25">
      <c r="A478" s="3">
        <v>46086</v>
      </c>
      <c r="B478" s="5" t="s">
        <v>854</v>
      </c>
      <c r="C478" s="5" t="s">
        <v>854</v>
      </c>
      <c r="D478" s="5" t="s">
        <v>355</v>
      </c>
      <c r="E478" s="4" t="str">
        <f>"0097142260226"</f>
        <v>0097142260226</v>
      </c>
      <c r="F478" s="2" t="s">
        <v>12</v>
      </c>
      <c r="G478" s="2" t="s">
        <v>13</v>
      </c>
      <c r="H478" t="s">
        <v>14</v>
      </c>
      <c r="I478" s="1">
        <v>46086</v>
      </c>
      <c r="J478" t="s">
        <v>855</v>
      </c>
    </row>
    <row r="479" spans="1:10" x14ac:dyDescent="0.25">
      <c r="A479" s="3">
        <v>46086</v>
      </c>
      <c r="B479" s="5" t="s">
        <v>856</v>
      </c>
      <c r="C479" s="5" t="s">
        <v>856</v>
      </c>
      <c r="D479" s="5" t="s">
        <v>355</v>
      </c>
      <c r="E479" s="4" t="str">
        <f>"0097142222815"</f>
        <v>0097142222815</v>
      </c>
      <c r="F479" s="2" t="s">
        <v>12</v>
      </c>
      <c r="G479" s="2" t="s">
        <v>13</v>
      </c>
      <c r="H479" t="s">
        <v>14</v>
      </c>
      <c r="I479" s="1">
        <v>46086</v>
      </c>
      <c r="J479" t="s">
        <v>857</v>
      </c>
    </row>
    <row r="480" spans="1:10" x14ac:dyDescent="0.25">
      <c r="A480" s="3">
        <v>46086</v>
      </c>
      <c r="B480" s="5" t="s">
        <v>858</v>
      </c>
      <c r="C480" s="5" t="s">
        <v>858</v>
      </c>
      <c r="D480" s="5" t="s">
        <v>355</v>
      </c>
      <c r="E480" s="4" t="str">
        <f>"0097142279858"</f>
        <v>0097142279858</v>
      </c>
      <c r="F480" s="2" t="s">
        <v>12</v>
      </c>
      <c r="G480" s="2" t="s">
        <v>13</v>
      </c>
      <c r="H480" t="s">
        <v>14</v>
      </c>
      <c r="I480" s="1">
        <v>46086</v>
      </c>
      <c r="J480" t="s">
        <v>859</v>
      </c>
    </row>
    <row r="481" spans="1:10" x14ac:dyDescent="0.25">
      <c r="A481" s="3">
        <v>46086</v>
      </c>
      <c r="B481" s="5" t="s">
        <v>860</v>
      </c>
      <c r="C481" s="5" t="s">
        <v>860</v>
      </c>
      <c r="D481" s="5" t="s">
        <v>355</v>
      </c>
      <c r="E481" s="4" t="str">
        <f>"0097143414409"</f>
        <v>0097143414409</v>
      </c>
      <c r="F481" s="2" t="s">
        <v>12</v>
      </c>
      <c r="G481" s="2" t="s">
        <v>13</v>
      </c>
      <c r="H481" t="s">
        <v>14</v>
      </c>
      <c r="I481" s="1">
        <v>46086</v>
      </c>
      <c r="J481" t="s">
        <v>861</v>
      </c>
    </row>
    <row r="482" spans="1:10" x14ac:dyDescent="0.25">
      <c r="A482" s="3">
        <v>46086</v>
      </c>
      <c r="B482" s="5" t="s">
        <v>862</v>
      </c>
      <c r="C482" s="5" t="s">
        <v>862</v>
      </c>
      <c r="D482" s="5" t="s">
        <v>355</v>
      </c>
      <c r="E482" s="4" t="str">
        <f>"00971565909369"</f>
        <v>00971565909369</v>
      </c>
      <c r="F482" s="2" t="s">
        <v>12</v>
      </c>
      <c r="G482" s="2" t="s">
        <v>13</v>
      </c>
      <c r="H482" t="s">
        <v>14</v>
      </c>
      <c r="I482" s="1">
        <v>46086</v>
      </c>
      <c r="J482" t="s">
        <v>863</v>
      </c>
    </row>
    <row r="483" spans="1:10" x14ac:dyDescent="0.25">
      <c r="A483" s="3">
        <v>46086</v>
      </c>
      <c r="B483" s="5" t="s">
        <v>864</v>
      </c>
      <c r="C483" s="5" t="s">
        <v>864</v>
      </c>
      <c r="D483" s="5" t="s">
        <v>355</v>
      </c>
      <c r="E483" s="4" t="str">
        <f>"0097143400737"</f>
        <v>0097143400737</v>
      </c>
      <c r="F483" s="2" t="s">
        <v>12</v>
      </c>
      <c r="G483" s="2" t="s">
        <v>13</v>
      </c>
      <c r="H483" t="s">
        <v>14</v>
      </c>
      <c r="I483" s="1">
        <v>46086</v>
      </c>
      <c r="J483" t="s">
        <v>865</v>
      </c>
    </row>
    <row r="484" spans="1:10" x14ac:dyDescent="0.25">
      <c r="A484" s="3">
        <v>46086</v>
      </c>
      <c r="B484" s="5" t="s">
        <v>866</v>
      </c>
      <c r="C484" s="5" t="s">
        <v>866</v>
      </c>
      <c r="D484" s="5" t="s">
        <v>355</v>
      </c>
      <c r="E484" s="4" t="str">
        <f>"0097142248173"</f>
        <v>0097142248173</v>
      </c>
      <c r="F484" s="2" t="s">
        <v>12</v>
      </c>
      <c r="G484" s="2" t="s">
        <v>13</v>
      </c>
      <c r="H484" t="s">
        <v>14</v>
      </c>
      <c r="I484" s="1">
        <v>46086</v>
      </c>
      <c r="J484" t="s">
        <v>867</v>
      </c>
    </row>
    <row r="485" spans="1:10" x14ac:dyDescent="0.25">
      <c r="A485" s="3">
        <v>46086</v>
      </c>
      <c r="B485" s="5" t="s">
        <v>868</v>
      </c>
      <c r="C485" s="5" t="s">
        <v>868</v>
      </c>
      <c r="D485" s="5" t="s">
        <v>355</v>
      </c>
      <c r="E485" s="4" t="str">
        <f>"0097142200334"</f>
        <v>0097142200334</v>
      </c>
      <c r="F485" s="2" t="s">
        <v>12</v>
      </c>
      <c r="G485" s="2" t="s">
        <v>13</v>
      </c>
      <c r="H485" t="s">
        <v>14</v>
      </c>
      <c r="I485" s="1">
        <v>46086</v>
      </c>
      <c r="J485" t="s">
        <v>869</v>
      </c>
    </row>
    <row r="486" spans="1:10" x14ac:dyDescent="0.25">
      <c r="A486" s="3">
        <v>46086</v>
      </c>
      <c r="B486" s="5" t="s">
        <v>868</v>
      </c>
      <c r="C486" s="5" t="s">
        <v>868</v>
      </c>
      <c r="D486" s="5" t="s">
        <v>355</v>
      </c>
      <c r="E486" s="4" t="str">
        <f>"00971551034834"</f>
        <v>00971551034834</v>
      </c>
      <c r="F486" s="2" t="s">
        <v>12</v>
      </c>
      <c r="G486" s="2" t="s">
        <v>13</v>
      </c>
      <c r="H486" t="s">
        <v>14</v>
      </c>
      <c r="I486" s="1">
        <v>46086</v>
      </c>
      <c r="J486" t="s">
        <v>870</v>
      </c>
    </row>
    <row r="487" spans="1:10" x14ac:dyDescent="0.25">
      <c r="A487" s="3">
        <v>46086</v>
      </c>
      <c r="B487" s="5" t="s">
        <v>871</v>
      </c>
      <c r="C487" s="5" t="s">
        <v>871</v>
      </c>
      <c r="D487" s="5" t="s">
        <v>355</v>
      </c>
      <c r="E487" s="4" t="str">
        <f>"0097142885811"</f>
        <v>0097142885811</v>
      </c>
      <c r="F487" s="2" t="s">
        <v>12</v>
      </c>
      <c r="G487" s="2" t="s">
        <v>13</v>
      </c>
      <c r="H487" t="s">
        <v>14</v>
      </c>
      <c r="I487" s="1">
        <v>46086</v>
      </c>
      <c r="J487" t="s">
        <v>872</v>
      </c>
    </row>
    <row r="488" spans="1:10" x14ac:dyDescent="0.25">
      <c r="A488" s="3">
        <v>46086</v>
      </c>
      <c r="B488" s="5" t="s">
        <v>873</v>
      </c>
      <c r="C488" s="5" t="s">
        <v>873</v>
      </c>
      <c r="D488" s="5" t="s">
        <v>355</v>
      </c>
      <c r="E488" s="4" t="str">
        <f>"0097142273653"</f>
        <v>0097142273653</v>
      </c>
      <c r="F488" s="2" t="s">
        <v>12</v>
      </c>
      <c r="G488" s="2" t="s">
        <v>13</v>
      </c>
      <c r="H488" t="s">
        <v>14</v>
      </c>
      <c r="I488" s="1">
        <v>46086</v>
      </c>
      <c r="J488" t="s">
        <v>874</v>
      </c>
    </row>
    <row r="489" spans="1:10" x14ac:dyDescent="0.25">
      <c r="A489" s="3">
        <v>46086</v>
      </c>
      <c r="B489" s="5" t="s">
        <v>873</v>
      </c>
      <c r="C489" s="5" t="s">
        <v>873</v>
      </c>
      <c r="D489" s="5" t="s">
        <v>355</v>
      </c>
      <c r="E489" s="4" t="str">
        <f>"00971504361786"</f>
        <v>00971504361786</v>
      </c>
      <c r="F489" s="2" t="s">
        <v>12</v>
      </c>
      <c r="G489" s="2" t="s">
        <v>13</v>
      </c>
      <c r="H489" t="s">
        <v>14</v>
      </c>
      <c r="I489" s="1">
        <v>46086</v>
      </c>
      <c r="J489" t="s">
        <v>875</v>
      </c>
    </row>
    <row r="490" spans="1:10" x14ac:dyDescent="0.25">
      <c r="A490" s="3">
        <v>46086</v>
      </c>
      <c r="B490" s="5" t="s">
        <v>876</v>
      </c>
      <c r="C490" s="5" t="s">
        <v>876</v>
      </c>
      <c r="D490" s="5" t="s">
        <v>355</v>
      </c>
      <c r="E490" s="4" t="str">
        <f>"00971502461201"</f>
        <v>00971502461201</v>
      </c>
      <c r="F490" s="2" t="s">
        <v>12</v>
      </c>
      <c r="G490" s="2" t="s">
        <v>13</v>
      </c>
      <c r="H490" t="s">
        <v>14</v>
      </c>
      <c r="I490" s="1">
        <v>46086</v>
      </c>
      <c r="J490" t="s">
        <v>877</v>
      </c>
    </row>
    <row r="491" spans="1:10" x14ac:dyDescent="0.25">
      <c r="A491" s="3">
        <v>46086</v>
      </c>
      <c r="B491" s="5" t="s">
        <v>878</v>
      </c>
      <c r="C491" s="5" t="s">
        <v>878</v>
      </c>
      <c r="D491" s="5" t="s">
        <v>355</v>
      </c>
      <c r="E491" s="4" t="str">
        <f>"0097142997969"</f>
        <v>0097142997969</v>
      </c>
      <c r="F491" s="2" t="s">
        <v>12</v>
      </c>
      <c r="G491" s="2" t="s">
        <v>13</v>
      </c>
      <c r="H491" t="s">
        <v>14</v>
      </c>
      <c r="I491" s="1">
        <v>46086</v>
      </c>
      <c r="J491" t="s">
        <v>879</v>
      </c>
    </row>
    <row r="492" spans="1:10" x14ac:dyDescent="0.25">
      <c r="A492" s="3">
        <v>46086</v>
      </c>
      <c r="B492" s="5" t="s">
        <v>880</v>
      </c>
      <c r="C492" s="5" t="s">
        <v>880</v>
      </c>
      <c r="D492" s="5" t="s">
        <v>355</v>
      </c>
      <c r="E492" s="4" t="str">
        <f>"0097143880988"</f>
        <v>0097143880988</v>
      </c>
      <c r="F492" s="2" t="s">
        <v>12</v>
      </c>
      <c r="G492" s="2" t="s">
        <v>13</v>
      </c>
      <c r="H492" t="s">
        <v>14</v>
      </c>
      <c r="I492" s="1">
        <v>46086</v>
      </c>
      <c r="J492" t="s">
        <v>881</v>
      </c>
    </row>
    <row r="493" spans="1:10" x14ac:dyDescent="0.25">
      <c r="A493" s="3">
        <v>46086</v>
      </c>
      <c r="B493" s="5" t="s">
        <v>880</v>
      </c>
      <c r="C493" s="5" t="s">
        <v>880</v>
      </c>
      <c r="D493" s="5" t="s">
        <v>355</v>
      </c>
      <c r="E493" s="4" t="str">
        <f>"00971556633061"</f>
        <v>00971556633061</v>
      </c>
      <c r="F493" s="2" t="s">
        <v>12</v>
      </c>
      <c r="G493" s="2" t="s">
        <v>13</v>
      </c>
      <c r="H493" t="s">
        <v>14</v>
      </c>
      <c r="I493" s="1">
        <v>46086</v>
      </c>
      <c r="J493" t="s">
        <v>882</v>
      </c>
    </row>
    <row r="494" spans="1:10" x14ac:dyDescent="0.25">
      <c r="A494" s="3">
        <v>46086</v>
      </c>
      <c r="B494" s="5" t="s">
        <v>883</v>
      </c>
      <c r="C494" s="5" t="s">
        <v>883</v>
      </c>
      <c r="D494" s="5" t="s">
        <v>355</v>
      </c>
      <c r="E494" s="4" t="str">
        <f>"0097143512340"</f>
        <v>0097143512340</v>
      </c>
      <c r="F494" s="2" t="s">
        <v>12</v>
      </c>
      <c r="G494" s="2" t="s">
        <v>13</v>
      </c>
      <c r="H494" t="s">
        <v>14</v>
      </c>
      <c r="I494" s="1">
        <v>46086</v>
      </c>
      <c r="J494" t="s">
        <v>884</v>
      </c>
    </row>
    <row r="495" spans="1:10" x14ac:dyDescent="0.25">
      <c r="A495" s="3">
        <v>46086</v>
      </c>
      <c r="B495" s="5" t="s">
        <v>885</v>
      </c>
      <c r="C495" s="5" t="s">
        <v>885</v>
      </c>
      <c r="D495" s="5" t="s">
        <v>355</v>
      </c>
      <c r="E495" s="4" t="str">
        <f>"0097142865911"</f>
        <v>0097142865911</v>
      </c>
      <c r="F495" s="2" t="s">
        <v>12</v>
      </c>
      <c r="G495" s="2" t="s">
        <v>13</v>
      </c>
      <c r="H495" t="s">
        <v>14</v>
      </c>
      <c r="I495" s="1">
        <v>46086</v>
      </c>
      <c r="J495" t="s">
        <v>886</v>
      </c>
    </row>
    <row r="496" spans="1:10" x14ac:dyDescent="0.25">
      <c r="A496" s="3">
        <v>46086</v>
      </c>
      <c r="B496" s="5" t="s">
        <v>887</v>
      </c>
      <c r="C496" s="5" t="s">
        <v>887</v>
      </c>
      <c r="D496" s="5" t="s">
        <v>355</v>
      </c>
      <c r="E496" s="4" t="str">
        <f>"0097143558081"</f>
        <v>0097143558081</v>
      </c>
      <c r="F496" s="2" t="s">
        <v>12</v>
      </c>
      <c r="G496" s="2" t="s">
        <v>13</v>
      </c>
      <c r="H496" t="s">
        <v>14</v>
      </c>
      <c r="I496" s="1">
        <v>46086</v>
      </c>
      <c r="J496" t="s">
        <v>888</v>
      </c>
    </row>
    <row r="497" spans="1:10" x14ac:dyDescent="0.25">
      <c r="A497" s="3">
        <v>46086</v>
      </c>
      <c r="B497" s="5" t="s">
        <v>889</v>
      </c>
      <c r="C497" s="5" t="s">
        <v>889</v>
      </c>
      <c r="D497" s="5" t="s">
        <v>355</v>
      </c>
      <c r="E497" s="4" t="str">
        <f>"00971553010654"</f>
        <v>00971553010654</v>
      </c>
      <c r="F497" s="2" t="s">
        <v>12</v>
      </c>
      <c r="G497" s="2" t="s">
        <v>13</v>
      </c>
      <c r="H497" t="s">
        <v>14</v>
      </c>
      <c r="I497" s="1">
        <v>46086</v>
      </c>
      <c r="J497" t="s">
        <v>890</v>
      </c>
    </row>
    <row r="498" spans="1:10" x14ac:dyDescent="0.25">
      <c r="A498" s="3">
        <v>46086</v>
      </c>
      <c r="B498" s="5" t="s">
        <v>891</v>
      </c>
      <c r="C498" s="5" t="s">
        <v>891</v>
      </c>
      <c r="D498" s="5" t="s">
        <v>355</v>
      </c>
      <c r="E498" s="4" t="str">
        <f>"0097142593050"</f>
        <v>0097142593050</v>
      </c>
      <c r="F498" s="2" t="s">
        <v>12</v>
      </c>
      <c r="G498" s="2" t="s">
        <v>13</v>
      </c>
      <c r="H498" t="s">
        <v>14</v>
      </c>
      <c r="I498" s="1">
        <v>46086</v>
      </c>
      <c r="J498" t="s">
        <v>892</v>
      </c>
    </row>
    <row r="499" spans="1:10" x14ac:dyDescent="0.25">
      <c r="A499" s="3">
        <v>46086</v>
      </c>
      <c r="B499" s="5" t="s">
        <v>893</v>
      </c>
      <c r="C499" s="5" t="s">
        <v>893</v>
      </c>
      <c r="D499" s="5" t="s">
        <v>355</v>
      </c>
      <c r="E499" s="4" t="str">
        <f>"0097143360782"</f>
        <v>0097143360782</v>
      </c>
      <c r="F499" s="2" t="s">
        <v>12</v>
      </c>
      <c r="G499" s="2" t="s">
        <v>13</v>
      </c>
      <c r="H499" t="s">
        <v>14</v>
      </c>
      <c r="I499" s="1">
        <v>46086</v>
      </c>
      <c r="J499" t="s">
        <v>894</v>
      </c>
    </row>
    <row r="500" spans="1:10" x14ac:dyDescent="0.25">
      <c r="A500" s="3">
        <v>46086</v>
      </c>
      <c r="B500" s="5" t="s">
        <v>895</v>
      </c>
      <c r="C500" s="5" t="s">
        <v>895</v>
      </c>
      <c r="D500" s="5" t="s">
        <v>355</v>
      </c>
      <c r="E500" s="4" t="str">
        <f>"0097148810444"</f>
        <v>0097148810444</v>
      </c>
      <c r="F500" s="2" t="s">
        <v>12</v>
      </c>
      <c r="G500" s="2" t="s">
        <v>13</v>
      </c>
      <c r="H500" t="s">
        <v>14</v>
      </c>
      <c r="I500" s="1">
        <v>46086</v>
      </c>
      <c r="J500" t="s">
        <v>896</v>
      </c>
    </row>
    <row r="501" spans="1:10" x14ac:dyDescent="0.25">
      <c r="A501" s="3">
        <v>46086</v>
      </c>
      <c r="B501" s="5" t="s">
        <v>897</v>
      </c>
      <c r="C501" s="5" t="s">
        <v>897</v>
      </c>
      <c r="D501" s="5" t="s">
        <v>355</v>
      </c>
      <c r="E501" s="4" t="str">
        <f>"0097142690496"</f>
        <v>0097142690496</v>
      </c>
      <c r="F501" s="2" t="s">
        <v>12</v>
      </c>
      <c r="G501" s="2" t="s">
        <v>13</v>
      </c>
      <c r="H501" t="s">
        <v>14</v>
      </c>
      <c r="I501" s="1">
        <v>46086</v>
      </c>
      <c r="J501" t="s">
        <v>898</v>
      </c>
    </row>
    <row r="502" spans="1:10" x14ac:dyDescent="0.25">
      <c r="A502" s="3">
        <v>46086</v>
      </c>
      <c r="B502" s="5" t="s">
        <v>899</v>
      </c>
      <c r="C502" s="5" t="s">
        <v>899</v>
      </c>
      <c r="D502" s="5" t="s">
        <v>355</v>
      </c>
      <c r="E502" s="4" t="str">
        <f>"0097144575000"</f>
        <v>0097144575000</v>
      </c>
      <c r="F502" s="2" t="s">
        <v>12</v>
      </c>
      <c r="G502" s="2" t="s">
        <v>13</v>
      </c>
      <c r="H502" t="s">
        <v>14</v>
      </c>
      <c r="I502" s="1">
        <v>46086</v>
      </c>
      <c r="J502" t="s">
        <v>900</v>
      </c>
    </row>
    <row r="503" spans="1:10" x14ac:dyDescent="0.25">
      <c r="A503" s="3">
        <v>46086</v>
      </c>
      <c r="B503" s="5" t="s">
        <v>901</v>
      </c>
      <c r="C503" s="5" t="s">
        <v>901</v>
      </c>
      <c r="D503" s="5" t="s">
        <v>355</v>
      </c>
      <c r="E503" s="4" t="str">
        <f>"0097142727718"</f>
        <v>0097142727718</v>
      </c>
      <c r="F503" s="2" t="s">
        <v>12</v>
      </c>
      <c r="G503" s="2" t="s">
        <v>13</v>
      </c>
      <c r="H503" t="s">
        <v>14</v>
      </c>
      <c r="I503" s="1">
        <v>46086</v>
      </c>
      <c r="J503" t="s">
        <v>902</v>
      </c>
    </row>
    <row r="504" spans="1:10" x14ac:dyDescent="0.25">
      <c r="A504" s="3">
        <v>46086</v>
      </c>
      <c r="B504" s="5" t="s">
        <v>903</v>
      </c>
      <c r="C504" s="5" t="s">
        <v>903</v>
      </c>
      <c r="D504" s="5" t="s">
        <v>355</v>
      </c>
      <c r="E504" s="4" t="str">
        <f>"0097143208196"</f>
        <v>0097143208196</v>
      </c>
      <c r="F504" s="2" t="s">
        <v>12</v>
      </c>
      <c r="G504" s="2" t="s">
        <v>13</v>
      </c>
      <c r="H504" t="s">
        <v>14</v>
      </c>
      <c r="I504" s="1">
        <v>46086</v>
      </c>
      <c r="J504" t="s">
        <v>904</v>
      </c>
    </row>
    <row r="505" spans="1:10" x14ac:dyDescent="0.25">
      <c r="A505" s="3">
        <v>46086</v>
      </c>
      <c r="B505" s="5" t="s">
        <v>905</v>
      </c>
      <c r="C505" s="5" t="s">
        <v>905</v>
      </c>
      <c r="D505" s="5" t="s">
        <v>355</v>
      </c>
      <c r="E505" s="4" t="str">
        <f>"0097142269232"</f>
        <v>0097142269232</v>
      </c>
      <c r="F505" s="2" t="s">
        <v>12</v>
      </c>
      <c r="G505" s="2" t="s">
        <v>13</v>
      </c>
      <c r="H505" t="s">
        <v>14</v>
      </c>
      <c r="I505" s="1">
        <v>46086</v>
      </c>
      <c r="J505" t="s">
        <v>906</v>
      </c>
    </row>
    <row r="506" spans="1:10" x14ac:dyDescent="0.25">
      <c r="A506" s="3">
        <v>46086</v>
      </c>
      <c r="B506" s="5" t="s">
        <v>907</v>
      </c>
      <c r="C506" s="5" t="s">
        <v>907</v>
      </c>
      <c r="D506" s="5" t="s">
        <v>355</v>
      </c>
      <c r="E506" s="4" t="str">
        <f>"0097143309677"</f>
        <v>0097143309677</v>
      </c>
      <c r="F506" s="2" t="s">
        <v>12</v>
      </c>
      <c r="G506" s="2" t="s">
        <v>13</v>
      </c>
      <c r="H506" t="s">
        <v>14</v>
      </c>
      <c r="I506" s="1">
        <v>46086</v>
      </c>
      <c r="J506" t="s">
        <v>908</v>
      </c>
    </row>
    <row r="507" spans="1:10" x14ac:dyDescent="0.25">
      <c r="A507" s="3">
        <v>46086</v>
      </c>
      <c r="B507" s="5" t="s">
        <v>907</v>
      </c>
      <c r="C507" s="5" t="s">
        <v>907</v>
      </c>
      <c r="D507" s="5" t="s">
        <v>355</v>
      </c>
      <c r="E507" s="4" t="str">
        <f>"00971568032675"</f>
        <v>00971568032675</v>
      </c>
      <c r="F507" s="2" t="s">
        <v>12</v>
      </c>
      <c r="G507" s="2" t="s">
        <v>13</v>
      </c>
      <c r="H507" t="s">
        <v>14</v>
      </c>
      <c r="I507" s="1">
        <v>46086</v>
      </c>
      <c r="J507" t="s">
        <v>909</v>
      </c>
    </row>
    <row r="508" spans="1:10" x14ac:dyDescent="0.25">
      <c r="A508" s="3">
        <v>46086</v>
      </c>
      <c r="B508" s="5" t="s">
        <v>910</v>
      </c>
      <c r="C508" s="5" t="s">
        <v>910</v>
      </c>
      <c r="D508" s="5" t="s">
        <v>355</v>
      </c>
      <c r="E508" s="4" t="str">
        <f>"00971559713897"</f>
        <v>00971559713897</v>
      </c>
      <c r="F508" s="2" t="s">
        <v>12</v>
      </c>
      <c r="G508" s="2" t="s">
        <v>13</v>
      </c>
      <c r="H508" t="s">
        <v>14</v>
      </c>
      <c r="I508" s="1">
        <v>46086</v>
      </c>
      <c r="J508" t="s">
        <v>911</v>
      </c>
    </row>
    <row r="509" spans="1:10" x14ac:dyDescent="0.25">
      <c r="A509" s="3">
        <v>46086</v>
      </c>
      <c r="B509" s="5" t="s">
        <v>912</v>
      </c>
      <c r="C509" s="5" t="s">
        <v>912</v>
      </c>
      <c r="D509" s="5" t="s">
        <v>355</v>
      </c>
      <c r="E509" s="4" t="str">
        <f>"0097144572746"</f>
        <v>0097144572746</v>
      </c>
      <c r="F509" s="2" t="s">
        <v>12</v>
      </c>
      <c r="G509" s="2" t="s">
        <v>13</v>
      </c>
      <c r="H509" t="s">
        <v>14</v>
      </c>
      <c r="I509" s="1">
        <v>46086</v>
      </c>
      <c r="J509" t="s">
        <v>913</v>
      </c>
    </row>
    <row r="510" spans="1:10" x14ac:dyDescent="0.25">
      <c r="A510" s="3">
        <v>46086</v>
      </c>
      <c r="B510" s="5" t="s">
        <v>914</v>
      </c>
      <c r="C510" s="5" t="s">
        <v>914</v>
      </c>
      <c r="D510" s="5" t="s">
        <v>355</v>
      </c>
      <c r="E510" s="4" t="str">
        <f>"00971504610878"</f>
        <v>00971504610878</v>
      </c>
      <c r="F510" s="2" t="s">
        <v>12</v>
      </c>
      <c r="G510" s="2" t="s">
        <v>13</v>
      </c>
      <c r="H510" t="s">
        <v>14</v>
      </c>
      <c r="I510" s="1">
        <v>46086</v>
      </c>
      <c r="J510" t="s">
        <v>915</v>
      </c>
    </row>
    <row r="511" spans="1:10" x14ac:dyDescent="0.25">
      <c r="A511" s="3">
        <v>46086</v>
      </c>
      <c r="B511" s="5" t="s">
        <v>914</v>
      </c>
      <c r="C511" s="5" t="s">
        <v>914</v>
      </c>
      <c r="D511" s="5" t="s">
        <v>355</v>
      </c>
      <c r="E511" s="4" t="str">
        <f>"0097168863799"</f>
        <v>0097168863799</v>
      </c>
      <c r="F511" s="2" t="s">
        <v>12</v>
      </c>
      <c r="G511" s="2" t="s">
        <v>13</v>
      </c>
      <c r="H511" t="s">
        <v>14</v>
      </c>
      <c r="I511" s="1">
        <v>46086</v>
      </c>
      <c r="J511" t="s">
        <v>916</v>
      </c>
    </row>
    <row r="512" spans="1:10" x14ac:dyDescent="0.25">
      <c r="A512" s="3">
        <v>46086</v>
      </c>
      <c r="B512" s="5" t="s">
        <v>917</v>
      </c>
      <c r="C512" s="5" t="s">
        <v>917</v>
      </c>
      <c r="D512" s="5" t="s">
        <v>355</v>
      </c>
      <c r="E512" s="4" t="str">
        <f>"0097143390912"</f>
        <v>0097143390912</v>
      </c>
      <c r="F512" s="2" t="s">
        <v>12</v>
      </c>
      <c r="G512" s="2" t="s">
        <v>13</v>
      </c>
      <c r="H512" t="s">
        <v>14</v>
      </c>
      <c r="I512" s="1">
        <v>46086</v>
      </c>
      <c r="J512" t="s">
        <v>918</v>
      </c>
    </row>
    <row r="513" spans="1:10" x14ac:dyDescent="0.25">
      <c r="A513" s="3">
        <v>46086</v>
      </c>
      <c r="B513" s="5" t="s">
        <v>919</v>
      </c>
      <c r="C513" s="5" t="s">
        <v>919</v>
      </c>
      <c r="D513" s="5" t="s">
        <v>355</v>
      </c>
      <c r="E513" s="4" t="str">
        <f>"0097142253085"</f>
        <v>0097142253085</v>
      </c>
      <c r="F513" s="2" t="s">
        <v>12</v>
      </c>
      <c r="G513" s="2" t="s">
        <v>13</v>
      </c>
      <c r="H513" t="s">
        <v>14</v>
      </c>
      <c r="I513" s="1">
        <v>46086</v>
      </c>
      <c r="J513" t="s">
        <v>920</v>
      </c>
    </row>
    <row r="514" spans="1:10" x14ac:dyDescent="0.25">
      <c r="A514" s="3">
        <v>46086</v>
      </c>
      <c r="B514" s="5" t="s">
        <v>921</v>
      </c>
      <c r="C514" s="5" t="s">
        <v>921</v>
      </c>
      <c r="D514" s="5" t="s">
        <v>355</v>
      </c>
      <c r="E514" s="4" t="str">
        <f>"0097143469998"</f>
        <v>0097143469998</v>
      </c>
      <c r="F514" s="2" t="s">
        <v>12</v>
      </c>
      <c r="G514" s="2" t="s">
        <v>13</v>
      </c>
      <c r="H514" t="s">
        <v>14</v>
      </c>
      <c r="I514" s="1">
        <v>46086</v>
      </c>
      <c r="J514" t="s">
        <v>922</v>
      </c>
    </row>
    <row r="515" spans="1:10" x14ac:dyDescent="0.25">
      <c r="A515" s="3">
        <v>46086</v>
      </c>
      <c r="B515" s="5" t="s">
        <v>923</v>
      </c>
      <c r="C515" s="5" t="s">
        <v>923</v>
      </c>
      <c r="D515" s="5" t="s">
        <v>355</v>
      </c>
      <c r="E515" s="4" t="str">
        <f>"0097142505746"</f>
        <v>0097142505746</v>
      </c>
      <c r="F515" s="2" t="s">
        <v>12</v>
      </c>
      <c r="G515" s="2" t="s">
        <v>13</v>
      </c>
      <c r="H515" t="s">
        <v>14</v>
      </c>
      <c r="I515" s="1">
        <v>46086</v>
      </c>
      <c r="J515" t="s">
        <v>924</v>
      </c>
    </row>
    <row r="516" spans="1:10" x14ac:dyDescent="0.25">
      <c r="A516" s="3">
        <v>46086</v>
      </c>
      <c r="B516" s="5" t="s">
        <v>925</v>
      </c>
      <c r="C516" s="5" t="s">
        <v>925</v>
      </c>
      <c r="D516" s="5" t="s">
        <v>355</v>
      </c>
      <c r="E516" s="4" t="str">
        <f>"0097142239870"</f>
        <v>0097142239870</v>
      </c>
      <c r="F516" s="2" t="s">
        <v>12</v>
      </c>
      <c r="G516" s="2" t="s">
        <v>13</v>
      </c>
      <c r="H516" t="s">
        <v>14</v>
      </c>
      <c r="I516" s="1">
        <v>46086</v>
      </c>
      <c r="J516" t="s">
        <v>926</v>
      </c>
    </row>
    <row r="517" spans="1:10" x14ac:dyDescent="0.25">
      <c r="A517" s="3">
        <v>46086</v>
      </c>
      <c r="B517" s="5" t="s">
        <v>927</v>
      </c>
      <c r="C517" s="5" t="s">
        <v>927</v>
      </c>
      <c r="D517" s="5" t="s">
        <v>355</v>
      </c>
      <c r="E517" s="4" t="str">
        <f>"0097142808641"</f>
        <v>0097142808641</v>
      </c>
      <c r="F517" s="2" t="s">
        <v>12</v>
      </c>
      <c r="G517" s="2" t="s">
        <v>13</v>
      </c>
      <c r="H517" t="s">
        <v>14</v>
      </c>
      <c r="I517" s="1">
        <v>46086</v>
      </c>
      <c r="J517" t="s">
        <v>928</v>
      </c>
    </row>
    <row r="518" spans="1:10" x14ac:dyDescent="0.25">
      <c r="A518" s="3">
        <v>46086</v>
      </c>
      <c r="B518" s="5" t="s">
        <v>929</v>
      </c>
      <c r="C518" s="5" t="s">
        <v>929</v>
      </c>
      <c r="D518" s="5" t="s">
        <v>355</v>
      </c>
      <c r="E518" s="4" t="str">
        <f>"0097143539133"</f>
        <v>0097143539133</v>
      </c>
      <c r="F518" s="2" t="s">
        <v>12</v>
      </c>
      <c r="G518" s="2" t="s">
        <v>13</v>
      </c>
      <c r="H518" t="s">
        <v>14</v>
      </c>
      <c r="I518" s="1">
        <v>46086</v>
      </c>
      <c r="J518" t="s">
        <v>930</v>
      </c>
    </row>
    <row r="519" spans="1:10" x14ac:dyDescent="0.25">
      <c r="A519" s="3">
        <v>46086</v>
      </c>
      <c r="B519" s="5" t="s">
        <v>111</v>
      </c>
      <c r="C519" s="5" t="s">
        <v>111</v>
      </c>
      <c r="D519" s="5" t="s">
        <v>355</v>
      </c>
      <c r="E519" s="4" t="str">
        <f>"0097145262333"</f>
        <v>0097145262333</v>
      </c>
      <c r="F519" s="2" t="s">
        <v>12</v>
      </c>
      <c r="G519" s="2" t="s">
        <v>13</v>
      </c>
      <c r="H519" t="s">
        <v>14</v>
      </c>
      <c r="I519" s="1">
        <v>46086</v>
      </c>
      <c r="J519" t="s">
        <v>931</v>
      </c>
    </row>
    <row r="520" spans="1:10" x14ac:dyDescent="0.25">
      <c r="A520" s="3">
        <v>46086</v>
      </c>
      <c r="B520" s="5" t="s">
        <v>932</v>
      </c>
      <c r="C520" s="5" t="s">
        <v>932</v>
      </c>
      <c r="D520" s="5" t="s">
        <v>355</v>
      </c>
      <c r="E520" s="4" t="str">
        <f>"0097143295935"</f>
        <v>0097143295935</v>
      </c>
      <c r="F520" s="2" t="s">
        <v>12</v>
      </c>
      <c r="G520" s="2" t="s">
        <v>13</v>
      </c>
      <c r="H520" t="s">
        <v>14</v>
      </c>
      <c r="I520" s="1">
        <v>46086</v>
      </c>
      <c r="J520" t="s">
        <v>933</v>
      </c>
    </row>
    <row r="521" spans="1:10" x14ac:dyDescent="0.25">
      <c r="A521" s="3">
        <v>46086</v>
      </c>
      <c r="B521" s="5" t="s">
        <v>934</v>
      </c>
      <c r="C521" s="5" t="s">
        <v>934</v>
      </c>
      <c r="D521" s="5" t="s">
        <v>355</v>
      </c>
      <c r="E521" s="4" t="str">
        <f>"0097142955582"</f>
        <v>0097142955582</v>
      </c>
      <c r="F521" s="2" t="s">
        <v>12</v>
      </c>
      <c r="G521" s="2" t="s">
        <v>13</v>
      </c>
      <c r="H521" t="s">
        <v>14</v>
      </c>
      <c r="I521" s="1">
        <v>46086</v>
      </c>
      <c r="J521" t="s">
        <v>935</v>
      </c>
    </row>
    <row r="522" spans="1:10" x14ac:dyDescent="0.25">
      <c r="A522" s="3">
        <v>46086</v>
      </c>
      <c r="B522" s="5" t="s">
        <v>934</v>
      </c>
      <c r="C522" s="5" t="s">
        <v>934</v>
      </c>
      <c r="D522" s="5" t="s">
        <v>355</v>
      </c>
      <c r="E522" s="4" t="str">
        <f>"00971526444814"</f>
        <v>00971526444814</v>
      </c>
      <c r="F522" s="2" t="s">
        <v>12</v>
      </c>
      <c r="G522" s="2" t="s">
        <v>13</v>
      </c>
      <c r="H522" t="s">
        <v>14</v>
      </c>
      <c r="I522" s="1">
        <v>46086</v>
      </c>
      <c r="J522" t="s">
        <v>936</v>
      </c>
    </row>
    <row r="523" spans="1:10" x14ac:dyDescent="0.25">
      <c r="A523" s="3">
        <v>46086</v>
      </c>
      <c r="B523" s="5" t="s">
        <v>937</v>
      </c>
      <c r="C523" s="5" t="s">
        <v>937</v>
      </c>
      <c r="D523" s="5" t="s">
        <v>355</v>
      </c>
      <c r="E523" s="4" t="str">
        <f>"0097142852864"</f>
        <v>0097142852864</v>
      </c>
      <c r="F523" s="2" t="s">
        <v>12</v>
      </c>
      <c r="G523" s="2" t="s">
        <v>13</v>
      </c>
      <c r="H523" t="s">
        <v>14</v>
      </c>
      <c r="I523" s="1">
        <v>46086</v>
      </c>
      <c r="J523" t="s">
        <v>938</v>
      </c>
    </row>
    <row r="524" spans="1:10" x14ac:dyDescent="0.25">
      <c r="A524" s="3">
        <v>46086</v>
      </c>
      <c r="B524" s="5" t="s">
        <v>937</v>
      </c>
      <c r="C524" s="5" t="s">
        <v>937</v>
      </c>
      <c r="D524" s="5" t="s">
        <v>355</v>
      </c>
      <c r="E524" s="4" t="str">
        <f>"00971502691194"</f>
        <v>00971502691194</v>
      </c>
      <c r="F524" s="2" t="s">
        <v>12</v>
      </c>
      <c r="G524" s="2" t="s">
        <v>13</v>
      </c>
      <c r="H524" t="s">
        <v>14</v>
      </c>
      <c r="I524" s="1">
        <v>46086</v>
      </c>
      <c r="J524" t="s">
        <v>939</v>
      </c>
    </row>
    <row r="525" spans="1:10" x14ac:dyDescent="0.25">
      <c r="A525" s="3">
        <v>46086</v>
      </c>
      <c r="B525" s="5" t="s">
        <v>940</v>
      </c>
      <c r="C525" s="5" t="s">
        <v>940</v>
      </c>
      <c r="D525" s="5" t="s">
        <v>355</v>
      </c>
      <c r="E525" s="4" t="str">
        <f>"0097144220998"</f>
        <v>0097144220998</v>
      </c>
      <c r="F525" s="2" t="s">
        <v>12</v>
      </c>
      <c r="G525" s="2" t="s">
        <v>13</v>
      </c>
      <c r="H525" t="s">
        <v>14</v>
      </c>
      <c r="I525" s="1">
        <v>46086</v>
      </c>
      <c r="J525" t="s">
        <v>941</v>
      </c>
    </row>
    <row r="526" spans="1:10" x14ac:dyDescent="0.25">
      <c r="A526" s="3">
        <v>46086</v>
      </c>
      <c r="B526" s="5" t="s">
        <v>940</v>
      </c>
      <c r="C526" s="5" t="s">
        <v>940</v>
      </c>
      <c r="D526" s="5" t="s">
        <v>355</v>
      </c>
      <c r="E526" s="4" t="str">
        <f>"00971559945900"</f>
        <v>00971559945900</v>
      </c>
      <c r="F526" s="2" t="s">
        <v>12</v>
      </c>
      <c r="G526" s="2" t="s">
        <v>13</v>
      </c>
      <c r="H526" t="s">
        <v>14</v>
      </c>
      <c r="I526" s="1">
        <v>46086</v>
      </c>
      <c r="J526" t="s">
        <v>942</v>
      </c>
    </row>
    <row r="527" spans="1:10" x14ac:dyDescent="0.25">
      <c r="A527" s="3">
        <v>46086</v>
      </c>
      <c r="B527" s="5" t="s">
        <v>943</v>
      </c>
      <c r="C527" s="5" t="s">
        <v>943</v>
      </c>
      <c r="D527" s="5" t="s">
        <v>355</v>
      </c>
      <c r="E527" s="4" t="str">
        <f>"0097143335935"</f>
        <v>0097143335935</v>
      </c>
      <c r="F527" s="2" t="s">
        <v>12</v>
      </c>
      <c r="G527" s="2" t="s">
        <v>13</v>
      </c>
      <c r="H527" t="s">
        <v>14</v>
      </c>
      <c r="I527" s="1">
        <v>46086</v>
      </c>
      <c r="J527" t="s">
        <v>944</v>
      </c>
    </row>
    <row r="528" spans="1:10" x14ac:dyDescent="0.25">
      <c r="A528" s="3">
        <v>46086</v>
      </c>
      <c r="B528" s="5" t="s">
        <v>945</v>
      </c>
      <c r="C528" s="5" t="s">
        <v>945</v>
      </c>
      <c r="D528" s="5" t="s">
        <v>355</v>
      </c>
      <c r="E528" s="4" t="str">
        <f>"0097143204282"</f>
        <v>0097143204282</v>
      </c>
      <c r="F528" s="2" t="s">
        <v>12</v>
      </c>
      <c r="G528" s="2" t="s">
        <v>13</v>
      </c>
      <c r="H528" t="s">
        <v>14</v>
      </c>
      <c r="I528" s="1">
        <v>46086</v>
      </c>
      <c r="J528" t="s">
        <v>946</v>
      </c>
    </row>
    <row r="529" spans="1:10" x14ac:dyDescent="0.25">
      <c r="A529" s="3">
        <v>46086</v>
      </c>
      <c r="B529" s="5" t="s">
        <v>947</v>
      </c>
      <c r="C529" s="5" t="s">
        <v>947</v>
      </c>
      <c r="D529" s="5" t="s">
        <v>355</v>
      </c>
      <c r="E529" s="4" t="str">
        <f>"0097143332356"</f>
        <v>0097143332356</v>
      </c>
      <c r="F529" s="2" t="s">
        <v>12</v>
      </c>
      <c r="G529" s="2" t="s">
        <v>13</v>
      </c>
      <c r="H529" t="s">
        <v>14</v>
      </c>
      <c r="I529" s="1">
        <v>46086</v>
      </c>
      <c r="J529" t="s">
        <v>948</v>
      </c>
    </row>
    <row r="530" spans="1:10" x14ac:dyDescent="0.25">
      <c r="A530" s="3">
        <v>46086</v>
      </c>
      <c r="B530" s="5" t="s">
        <v>947</v>
      </c>
      <c r="C530" s="5" t="s">
        <v>947</v>
      </c>
      <c r="D530" s="5" t="s">
        <v>355</v>
      </c>
      <c r="E530" s="4" t="str">
        <f>"0097148837662"</f>
        <v>0097148837662</v>
      </c>
      <c r="F530" s="2" t="s">
        <v>12</v>
      </c>
      <c r="G530" s="2" t="s">
        <v>13</v>
      </c>
      <c r="H530" t="s">
        <v>14</v>
      </c>
      <c r="I530" s="1">
        <v>46086</v>
      </c>
      <c r="J530" t="s">
        <v>949</v>
      </c>
    </row>
    <row r="531" spans="1:10" x14ac:dyDescent="0.25">
      <c r="A531" s="3">
        <v>46086</v>
      </c>
      <c r="B531" s="5" t="s">
        <v>947</v>
      </c>
      <c r="C531" s="5" t="s">
        <v>947</v>
      </c>
      <c r="D531" s="5" t="s">
        <v>355</v>
      </c>
      <c r="E531" s="4" t="str">
        <f>"00971544475367"</f>
        <v>00971544475367</v>
      </c>
      <c r="F531" s="2" t="s">
        <v>12</v>
      </c>
      <c r="G531" s="2" t="s">
        <v>13</v>
      </c>
      <c r="H531" t="s">
        <v>14</v>
      </c>
      <c r="I531" s="1">
        <v>46086</v>
      </c>
      <c r="J531" t="s">
        <v>950</v>
      </c>
    </row>
    <row r="532" spans="1:10" x14ac:dyDescent="0.25">
      <c r="A532" s="3">
        <v>46086</v>
      </c>
      <c r="B532" s="5" t="s">
        <v>951</v>
      </c>
      <c r="C532" s="5" t="s">
        <v>951</v>
      </c>
      <c r="D532" s="5" t="s">
        <v>355</v>
      </c>
      <c r="E532" s="4" t="str">
        <f>"0097143515583"</f>
        <v>0097143515583</v>
      </c>
      <c r="F532" s="2" t="s">
        <v>12</v>
      </c>
      <c r="G532" s="2" t="s">
        <v>13</v>
      </c>
      <c r="H532" t="s">
        <v>14</v>
      </c>
      <c r="I532" s="1">
        <v>46086</v>
      </c>
      <c r="J532" t="s">
        <v>952</v>
      </c>
    </row>
    <row r="533" spans="1:10" x14ac:dyDescent="0.25">
      <c r="A533" s="3">
        <v>46086</v>
      </c>
      <c r="B533" s="5" t="s">
        <v>953</v>
      </c>
      <c r="C533" s="5" t="s">
        <v>953</v>
      </c>
      <c r="D533" s="5" t="s">
        <v>355</v>
      </c>
      <c r="E533" s="4" t="str">
        <f>"0097143429786"</f>
        <v>0097143429786</v>
      </c>
      <c r="F533" s="2" t="s">
        <v>12</v>
      </c>
      <c r="G533" s="2" t="s">
        <v>13</v>
      </c>
      <c r="H533" t="s">
        <v>14</v>
      </c>
      <c r="I533" s="1">
        <v>46086</v>
      </c>
      <c r="J533" t="s">
        <v>954</v>
      </c>
    </row>
    <row r="534" spans="1:10" x14ac:dyDescent="0.25">
      <c r="A534" s="3">
        <v>46086</v>
      </c>
      <c r="B534" s="5" t="s">
        <v>953</v>
      </c>
      <c r="C534" s="5" t="s">
        <v>953</v>
      </c>
      <c r="D534" s="5" t="s">
        <v>355</v>
      </c>
      <c r="E534" s="4" t="str">
        <f>"00971544226786"</f>
        <v>00971544226786</v>
      </c>
      <c r="F534" s="2" t="s">
        <v>12</v>
      </c>
      <c r="G534" s="2" t="s">
        <v>13</v>
      </c>
      <c r="H534" t="s">
        <v>14</v>
      </c>
      <c r="I534" s="1">
        <v>46086</v>
      </c>
      <c r="J534" t="s">
        <v>955</v>
      </c>
    </row>
    <row r="535" spans="1:10" x14ac:dyDescent="0.25">
      <c r="A535" s="3">
        <v>46086</v>
      </c>
      <c r="B535" s="5" t="s">
        <v>956</v>
      </c>
      <c r="C535" s="5" t="s">
        <v>956</v>
      </c>
      <c r="D535" s="5" t="s">
        <v>355</v>
      </c>
      <c r="E535" s="4" t="str">
        <f>"0097144533372"</f>
        <v>0097144533372</v>
      </c>
      <c r="F535" s="2" t="s">
        <v>12</v>
      </c>
      <c r="G535" s="2" t="s">
        <v>13</v>
      </c>
      <c r="H535" t="s">
        <v>14</v>
      </c>
      <c r="I535" s="1">
        <v>46086</v>
      </c>
      <c r="J535" t="s">
        <v>957</v>
      </c>
    </row>
    <row r="536" spans="1:10" x14ac:dyDescent="0.25">
      <c r="A536" s="3">
        <v>46086</v>
      </c>
      <c r="B536" s="5" t="s">
        <v>956</v>
      </c>
      <c r="C536" s="5" t="s">
        <v>956</v>
      </c>
      <c r="D536" s="5" t="s">
        <v>355</v>
      </c>
      <c r="E536" s="4" t="str">
        <f>"00971554090300"</f>
        <v>00971554090300</v>
      </c>
      <c r="F536" s="2" t="s">
        <v>12</v>
      </c>
      <c r="G536" s="2" t="s">
        <v>13</v>
      </c>
      <c r="H536" t="s">
        <v>14</v>
      </c>
      <c r="I536" s="1">
        <v>46086</v>
      </c>
      <c r="J536" t="s">
        <v>958</v>
      </c>
    </row>
    <row r="537" spans="1:10" x14ac:dyDescent="0.25">
      <c r="A537" s="3">
        <v>46086</v>
      </c>
      <c r="B537" s="5" t="s">
        <v>959</v>
      </c>
      <c r="C537" s="5" t="s">
        <v>959</v>
      </c>
      <c r="D537" s="5" t="s">
        <v>355</v>
      </c>
      <c r="E537" s="4" t="str">
        <f>"0097142844668"</f>
        <v>0097142844668</v>
      </c>
      <c r="F537" s="2" t="s">
        <v>12</v>
      </c>
      <c r="G537" s="2" t="s">
        <v>13</v>
      </c>
      <c r="H537" t="s">
        <v>14</v>
      </c>
      <c r="I537" s="1">
        <v>46086</v>
      </c>
      <c r="J537" t="s">
        <v>960</v>
      </c>
    </row>
    <row r="538" spans="1:10" x14ac:dyDescent="0.25">
      <c r="A538" s="3">
        <v>46086</v>
      </c>
      <c r="B538" s="5" t="s">
        <v>959</v>
      </c>
      <c r="C538" s="5" t="s">
        <v>959</v>
      </c>
      <c r="D538" s="5" t="s">
        <v>355</v>
      </c>
      <c r="E538" s="4" t="str">
        <f>"00971521819966"</f>
        <v>00971521819966</v>
      </c>
      <c r="F538" s="2" t="s">
        <v>12</v>
      </c>
      <c r="G538" s="2" t="s">
        <v>13</v>
      </c>
      <c r="H538" t="s">
        <v>14</v>
      </c>
      <c r="I538" s="1">
        <v>46086</v>
      </c>
      <c r="J538" t="s">
        <v>961</v>
      </c>
    </row>
    <row r="539" spans="1:10" x14ac:dyDescent="0.25">
      <c r="A539" s="3">
        <v>46086</v>
      </c>
      <c r="B539" s="5" t="s">
        <v>962</v>
      </c>
      <c r="C539" s="5" t="s">
        <v>962</v>
      </c>
      <c r="D539" s="5" t="s">
        <v>355</v>
      </c>
      <c r="E539" s="4" t="str">
        <f>"0097143388240"</f>
        <v>0097143388240</v>
      </c>
      <c r="F539" s="2" t="s">
        <v>12</v>
      </c>
      <c r="G539" s="2" t="s">
        <v>13</v>
      </c>
      <c r="H539" t="s">
        <v>14</v>
      </c>
      <c r="I539" s="1">
        <v>46086</v>
      </c>
      <c r="J539" t="s">
        <v>963</v>
      </c>
    </row>
    <row r="540" spans="1:10" x14ac:dyDescent="0.25">
      <c r="A540" s="3">
        <v>46086</v>
      </c>
      <c r="B540" s="5" t="s">
        <v>964</v>
      </c>
      <c r="C540" s="5" t="s">
        <v>964</v>
      </c>
      <c r="D540" s="5" t="s">
        <v>355</v>
      </c>
      <c r="E540" s="4" t="str">
        <f>"0097143386861"</f>
        <v>0097143386861</v>
      </c>
      <c r="F540" s="2" t="s">
        <v>12</v>
      </c>
      <c r="G540" s="2" t="s">
        <v>13</v>
      </c>
      <c r="H540" t="s">
        <v>14</v>
      </c>
      <c r="I540" s="1">
        <v>46086</v>
      </c>
      <c r="J540" t="s">
        <v>965</v>
      </c>
    </row>
    <row r="541" spans="1:10" x14ac:dyDescent="0.25">
      <c r="A541" s="3">
        <v>46086</v>
      </c>
      <c r="B541" s="5" t="s">
        <v>966</v>
      </c>
      <c r="C541" s="5" t="s">
        <v>966</v>
      </c>
      <c r="D541" s="5" t="s">
        <v>355</v>
      </c>
      <c r="E541" s="4" t="str">
        <f>"0097143526952"</f>
        <v>0097143526952</v>
      </c>
      <c r="F541" s="2" t="s">
        <v>12</v>
      </c>
      <c r="G541" s="2" t="s">
        <v>13</v>
      </c>
      <c r="H541" t="s">
        <v>14</v>
      </c>
      <c r="I541" s="1">
        <v>46086</v>
      </c>
      <c r="J541" t="s">
        <v>967</v>
      </c>
    </row>
    <row r="542" spans="1:10" x14ac:dyDescent="0.25">
      <c r="A542" s="3">
        <v>46086</v>
      </c>
      <c r="B542" s="5" t="s">
        <v>968</v>
      </c>
      <c r="C542" s="5" t="s">
        <v>968</v>
      </c>
      <c r="D542" s="5" t="s">
        <v>355</v>
      </c>
      <c r="E542" s="4" t="str">
        <f>"0097143498444"</f>
        <v>0097143498444</v>
      </c>
      <c r="F542" s="2" t="s">
        <v>12</v>
      </c>
      <c r="G542" s="2" t="s">
        <v>13</v>
      </c>
      <c r="H542" t="s">
        <v>14</v>
      </c>
      <c r="I542" s="1">
        <v>46086</v>
      </c>
      <c r="J542" t="s">
        <v>969</v>
      </c>
    </row>
    <row r="543" spans="1:10" x14ac:dyDescent="0.25">
      <c r="A543" s="3">
        <v>46086</v>
      </c>
      <c r="B543" s="5" t="s">
        <v>968</v>
      </c>
      <c r="C543" s="5" t="s">
        <v>968</v>
      </c>
      <c r="D543" s="5" t="s">
        <v>355</v>
      </c>
      <c r="E543" s="4" t="str">
        <f>"00971526411804"</f>
        <v>00971526411804</v>
      </c>
      <c r="F543" s="2" t="s">
        <v>12</v>
      </c>
      <c r="G543" s="2" t="s">
        <v>13</v>
      </c>
      <c r="H543" t="s">
        <v>14</v>
      </c>
      <c r="I543" s="1">
        <v>46086</v>
      </c>
      <c r="J543" t="s">
        <v>970</v>
      </c>
    </row>
    <row r="544" spans="1:10" x14ac:dyDescent="0.25">
      <c r="A544" s="3">
        <v>46086</v>
      </c>
      <c r="B544" s="5" t="s">
        <v>971</v>
      </c>
      <c r="C544" s="5" t="s">
        <v>971</v>
      </c>
      <c r="D544" s="5" t="s">
        <v>355</v>
      </c>
      <c r="E544" s="4" t="str">
        <f>"0097145519524"</f>
        <v>0097145519524</v>
      </c>
      <c r="F544" s="2" t="s">
        <v>12</v>
      </c>
      <c r="G544" s="2" t="s">
        <v>13</v>
      </c>
      <c r="H544" t="s">
        <v>14</v>
      </c>
      <c r="I544" s="1">
        <v>46086</v>
      </c>
      <c r="J544" t="s">
        <v>972</v>
      </c>
    </row>
    <row r="545" spans="1:10" x14ac:dyDescent="0.25">
      <c r="A545" s="3">
        <v>46086</v>
      </c>
      <c r="B545" s="5" t="s">
        <v>971</v>
      </c>
      <c r="C545" s="5" t="s">
        <v>971</v>
      </c>
      <c r="D545" s="5" t="s">
        <v>355</v>
      </c>
      <c r="E545" s="4" t="str">
        <f>"00971564605826"</f>
        <v>00971564605826</v>
      </c>
      <c r="F545" s="2" t="s">
        <v>12</v>
      </c>
      <c r="G545" s="2" t="s">
        <v>13</v>
      </c>
      <c r="H545" t="s">
        <v>14</v>
      </c>
      <c r="I545" s="1">
        <v>46086</v>
      </c>
      <c r="J545" t="s">
        <v>973</v>
      </c>
    </row>
    <row r="546" spans="1:10" x14ac:dyDescent="0.25">
      <c r="A546" s="3">
        <v>46086</v>
      </c>
      <c r="B546" s="5" t="s">
        <v>974</v>
      </c>
      <c r="C546" s="5" t="s">
        <v>974</v>
      </c>
      <c r="D546" s="5" t="s">
        <v>355</v>
      </c>
      <c r="E546" s="4" t="str">
        <f>"009714368999"</f>
        <v>009714368999</v>
      </c>
      <c r="F546" s="2" t="s">
        <v>12</v>
      </c>
      <c r="G546" s="2" t="s">
        <v>13</v>
      </c>
      <c r="H546" t="s">
        <v>14</v>
      </c>
      <c r="I546" s="1">
        <v>46086</v>
      </c>
      <c r="J546" t="s">
        <v>975</v>
      </c>
    </row>
    <row r="547" spans="1:10" x14ac:dyDescent="0.25">
      <c r="A547" s="3">
        <v>46086</v>
      </c>
      <c r="B547" s="5" t="s">
        <v>976</v>
      </c>
      <c r="C547" s="5" t="s">
        <v>976</v>
      </c>
      <c r="D547" s="5" t="s">
        <v>355</v>
      </c>
      <c r="E547" s="4" t="str">
        <f>"0097143470400"</f>
        <v>0097143470400</v>
      </c>
      <c r="F547" s="2" t="s">
        <v>12</v>
      </c>
      <c r="G547" s="2" t="s">
        <v>13</v>
      </c>
      <c r="H547" t="s">
        <v>14</v>
      </c>
      <c r="I547" s="1">
        <v>46086</v>
      </c>
      <c r="J547" t="s">
        <v>977</v>
      </c>
    </row>
    <row r="548" spans="1:10" x14ac:dyDescent="0.25">
      <c r="A548" s="3">
        <v>46086</v>
      </c>
      <c r="B548" s="5" t="s">
        <v>978</v>
      </c>
      <c r="C548" s="5" t="s">
        <v>978</v>
      </c>
      <c r="D548" s="5" t="s">
        <v>355</v>
      </c>
      <c r="E548" s="4" t="str">
        <f>"0097142672864"</f>
        <v>0097142672864</v>
      </c>
      <c r="F548" s="2" t="s">
        <v>12</v>
      </c>
      <c r="G548" s="2" t="s">
        <v>13</v>
      </c>
      <c r="H548" t="s">
        <v>14</v>
      </c>
      <c r="I548" s="1">
        <v>46086</v>
      </c>
      <c r="J548" t="s">
        <v>979</v>
      </c>
    </row>
    <row r="549" spans="1:10" x14ac:dyDescent="0.25">
      <c r="A549" s="3">
        <v>46086</v>
      </c>
      <c r="B549" s="5" t="s">
        <v>122</v>
      </c>
      <c r="C549" s="5" t="s">
        <v>122</v>
      </c>
      <c r="D549" s="5" t="s">
        <v>355</v>
      </c>
      <c r="E549" s="4" t="str">
        <f>"0097142673424"</f>
        <v>0097142673424</v>
      </c>
      <c r="F549" s="2" t="s">
        <v>12</v>
      </c>
      <c r="G549" s="2" t="s">
        <v>13</v>
      </c>
      <c r="H549" t="s">
        <v>14</v>
      </c>
      <c r="I549" s="1">
        <v>46086</v>
      </c>
      <c r="J549" t="s">
        <v>980</v>
      </c>
    </row>
    <row r="550" spans="1:10" x14ac:dyDescent="0.25">
      <c r="A550" s="3">
        <v>46086</v>
      </c>
      <c r="B550" s="5" t="s">
        <v>981</v>
      </c>
      <c r="C550" s="5" t="s">
        <v>981</v>
      </c>
      <c r="D550" s="5" t="s">
        <v>355</v>
      </c>
      <c r="E550" s="4" t="str">
        <f>"0097142343606"</f>
        <v>0097142343606</v>
      </c>
      <c r="F550" s="2" t="s">
        <v>12</v>
      </c>
      <c r="G550" s="2" t="s">
        <v>13</v>
      </c>
      <c r="H550" t="s">
        <v>14</v>
      </c>
      <c r="I550" s="1">
        <v>46086</v>
      </c>
      <c r="J550" t="s">
        <v>982</v>
      </c>
    </row>
    <row r="551" spans="1:10" x14ac:dyDescent="0.25">
      <c r="A551" s="3">
        <v>46086</v>
      </c>
      <c r="B551" s="5" t="s">
        <v>983</v>
      </c>
      <c r="C551" s="5" t="s">
        <v>983</v>
      </c>
      <c r="D551" s="5" t="s">
        <v>355</v>
      </c>
      <c r="E551" s="4" t="str">
        <f>"0097142653222"</f>
        <v>0097142653222</v>
      </c>
      <c r="F551" s="2" t="s">
        <v>12</v>
      </c>
      <c r="G551" s="2" t="s">
        <v>13</v>
      </c>
      <c r="H551" t="s">
        <v>14</v>
      </c>
      <c r="I551" s="1">
        <v>46086</v>
      </c>
      <c r="J551" t="s">
        <v>984</v>
      </c>
    </row>
    <row r="552" spans="1:10" x14ac:dyDescent="0.25">
      <c r="A552" s="3">
        <v>46086</v>
      </c>
      <c r="B552" s="5" t="s">
        <v>983</v>
      </c>
      <c r="C552" s="5" t="s">
        <v>983</v>
      </c>
      <c r="D552" s="5" t="s">
        <v>355</v>
      </c>
      <c r="E552" s="4" t="str">
        <f>"00971529939246"</f>
        <v>00971529939246</v>
      </c>
      <c r="F552" s="2" t="s">
        <v>12</v>
      </c>
      <c r="G552" s="2" t="s">
        <v>13</v>
      </c>
      <c r="H552" t="s">
        <v>14</v>
      </c>
      <c r="I552" s="1">
        <v>46086</v>
      </c>
      <c r="J552" t="s">
        <v>985</v>
      </c>
    </row>
    <row r="553" spans="1:10" x14ac:dyDescent="0.25">
      <c r="A553" s="3">
        <v>46086</v>
      </c>
      <c r="B553" s="5" t="s">
        <v>986</v>
      </c>
      <c r="C553" s="5" t="s">
        <v>986</v>
      </c>
      <c r="D553" s="5" t="s">
        <v>355</v>
      </c>
      <c r="E553" s="4" t="str">
        <f>"0097148858808"</f>
        <v>0097148858808</v>
      </c>
      <c r="F553" s="2" t="s">
        <v>12</v>
      </c>
      <c r="G553" s="2" t="s">
        <v>13</v>
      </c>
      <c r="H553" t="s">
        <v>14</v>
      </c>
      <c r="I553" s="1">
        <v>46086</v>
      </c>
      <c r="J553" t="s">
        <v>987</v>
      </c>
    </row>
    <row r="554" spans="1:10" x14ac:dyDescent="0.25">
      <c r="A554" s="3">
        <v>46086</v>
      </c>
      <c r="B554" s="5" t="s">
        <v>986</v>
      </c>
      <c r="C554" s="5" t="s">
        <v>986</v>
      </c>
      <c r="D554" s="5" t="s">
        <v>355</v>
      </c>
      <c r="E554" s="4" t="str">
        <f>"00971588934015"</f>
        <v>00971588934015</v>
      </c>
      <c r="F554" s="2" t="s">
        <v>12</v>
      </c>
      <c r="G554" s="2" t="s">
        <v>13</v>
      </c>
      <c r="H554" t="s">
        <v>14</v>
      </c>
      <c r="I554" s="1">
        <v>46086</v>
      </c>
      <c r="J554" t="s">
        <v>988</v>
      </c>
    </row>
    <row r="555" spans="1:10" x14ac:dyDescent="0.25">
      <c r="A555" s="3">
        <v>46086</v>
      </c>
      <c r="B555" s="5" t="s">
        <v>989</v>
      </c>
      <c r="C555" s="5" t="s">
        <v>989</v>
      </c>
      <c r="D555" s="5" t="s">
        <v>355</v>
      </c>
      <c r="E555" s="4" t="str">
        <f>"0097143382110"</f>
        <v>0097143382110</v>
      </c>
      <c r="F555" s="2" t="s">
        <v>12</v>
      </c>
      <c r="G555" s="2" t="s">
        <v>13</v>
      </c>
      <c r="H555" t="s">
        <v>14</v>
      </c>
      <c r="I555" s="1">
        <v>46086</v>
      </c>
      <c r="J555" t="s">
        <v>990</v>
      </c>
    </row>
    <row r="556" spans="1:10" x14ac:dyDescent="0.25">
      <c r="A556" s="3">
        <v>46086</v>
      </c>
      <c r="B556" s="5" t="s">
        <v>270</v>
      </c>
      <c r="C556" s="5" t="s">
        <v>270</v>
      </c>
      <c r="D556" s="5" t="s">
        <v>355</v>
      </c>
      <c r="E556" s="4" t="str">
        <f>"00971527042823"</f>
        <v>00971527042823</v>
      </c>
      <c r="F556" s="2" t="s">
        <v>12</v>
      </c>
      <c r="G556" s="2" t="s">
        <v>13</v>
      </c>
      <c r="H556" t="s">
        <v>14</v>
      </c>
      <c r="I556" s="1">
        <v>46086</v>
      </c>
      <c r="J556" t="s">
        <v>991</v>
      </c>
    </row>
    <row r="557" spans="1:10" x14ac:dyDescent="0.25">
      <c r="A557" s="3">
        <v>46086</v>
      </c>
      <c r="B557" s="5" t="s">
        <v>270</v>
      </c>
      <c r="C557" s="5" t="s">
        <v>270</v>
      </c>
      <c r="D557" s="5" t="s">
        <v>355</v>
      </c>
      <c r="E557" s="4" t="str">
        <f>"00971555229706"</f>
        <v>00971555229706</v>
      </c>
      <c r="F557" s="2" t="s">
        <v>12</v>
      </c>
      <c r="G557" s="2" t="s">
        <v>13</v>
      </c>
      <c r="H557" t="s">
        <v>14</v>
      </c>
      <c r="I557" s="1">
        <v>46086</v>
      </c>
      <c r="J557" t="s">
        <v>991</v>
      </c>
    </row>
    <row r="558" spans="1:10" x14ac:dyDescent="0.25">
      <c r="A558" s="3">
        <v>46086</v>
      </c>
      <c r="B558" s="5" t="s">
        <v>992</v>
      </c>
      <c r="C558" s="5" t="s">
        <v>992</v>
      </c>
      <c r="D558" s="5" t="s">
        <v>355</v>
      </c>
      <c r="E558" s="4" t="str">
        <f>"0097142946030"</f>
        <v>0097142946030</v>
      </c>
      <c r="F558" s="2" t="s">
        <v>12</v>
      </c>
      <c r="G558" s="2" t="s">
        <v>13</v>
      </c>
      <c r="H558" t="s">
        <v>14</v>
      </c>
      <c r="I558" s="1">
        <v>46086</v>
      </c>
      <c r="J558" t="s">
        <v>993</v>
      </c>
    </row>
    <row r="559" spans="1:10" x14ac:dyDescent="0.25">
      <c r="A559" s="3">
        <v>46086</v>
      </c>
      <c r="B559" s="5" t="s">
        <v>994</v>
      </c>
      <c r="C559" s="5" t="s">
        <v>994</v>
      </c>
      <c r="D559" s="5" t="s">
        <v>355</v>
      </c>
      <c r="E559" s="4" t="str">
        <f>"00971553535226"</f>
        <v>00971553535226</v>
      </c>
      <c r="F559" s="2" t="s">
        <v>12</v>
      </c>
      <c r="G559" s="2" t="s">
        <v>13</v>
      </c>
      <c r="H559" t="s">
        <v>14</v>
      </c>
      <c r="I559" s="1">
        <v>46086</v>
      </c>
      <c r="J559" t="s">
        <v>995</v>
      </c>
    </row>
    <row r="560" spans="1:10" x14ac:dyDescent="0.25">
      <c r="A560" s="3">
        <v>46086</v>
      </c>
      <c r="B560" s="5" t="s">
        <v>996</v>
      </c>
      <c r="C560" s="5" t="s">
        <v>996</v>
      </c>
      <c r="D560" s="5" t="s">
        <v>355</v>
      </c>
      <c r="E560" s="4" t="str">
        <f>"0097148749941"</f>
        <v>0097148749941</v>
      </c>
      <c r="F560" s="2" t="s">
        <v>12</v>
      </c>
      <c r="G560" s="2" t="s">
        <v>13</v>
      </c>
      <c r="H560" t="s">
        <v>14</v>
      </c>
      <c r="I560" s="1">
        <v>46086</v>
      </c>
      <c r="J560" t="s">
        <v>997</v>
      </c>
    </row>
    <row r="561" spans="1:10" x14ac:dyDescent="0.25">
      <c r="A561" s="3">
        <v>46086</v>
      </c>
      <c r="B561" s="5" t="s">
        <v>996</v>
      </c>
      <c r="C561" s="5" t="s">
        <v>996</v>
      </c>
      <c r="D561" s="5" t="s">
        <v>355</v>
      </c>
      <c r="E561" s="4" t="str">
        <f>"00971585874879"</f>
        <v>00971585874879</v>
      </c>
      <c r="F561" s="2" t="s">
        <v>12</v>
      </c>
      <c r="G561" s="2" t="s">
        <v>13</v>
      </c>
      <c r="H561" t="s">
        <v>14</v>
      </c>
      <c r="I561" s="1">
        <v>46086</v>
      </c>
      <c r="J561" t="s">
        <v>998</v>
      </c>
    </row>
    <row r="562" spans="1:10" x14ac:dyDescent="0.25">
      <c r="A562" s="3">
        <v>46086</v>
      </c>
      <c r="B562" s="5" t="s">
        <v>999</v>
      </c>
      <c r="C562" s="5" t="s">
        <v>999</v>
      </c>
      <c r="D562" s="5" t="s">
        <v>355</v>
      </c>
      <c r="E562" s="4" t="str">
        <f>"0097143280105"</f>
        <v>0097143280105</v>
      </c>
      <c r="F562" s="2" t="s">
        <v>12</v>
      </c>
      <c r="G562" s="2" t="s">
        <v>13</v>
      </c>
      <c r="H562" t="s">
        <v>14</v>
      </c>
      <c r="I562" s="1">
        <v>46086</v>
      </c>
      <c r="J562" t="s">
        <v>1000</v>
      </c>
    </row>
    <row r="563" spans="1:10" x14ac:dyDescent="0.25">
      <c r="A563" s="3">
        <v>46086</v>
      </c>
      <c r="B563" s="5" t="s">
        <v>1001</v>
      </c>
      <c r="C563" s="5" t="s">
        <v>1001</v>
      </c>
      <c r="D563" s="5" t="s">
        <v>355</v>
      </c>
      <c r="E563" s="4" t="str">
        <f>"00971557697230"</f>
        <v>00971557697230</v>
      </c>
      <c r="F563" s="2" t="s">
        <v>12</v>
      </c>
      <c r="G563" s="2" t="s">
        <v>13</v>
      </c>
      <c r="H563" t="s">
        <v>14</v>
      </c>
      <c r="I563" s="1">
        <v>46086</v>
      </c>
      <c r="J563" t="s">
        <v>1002</v>
      </c>
    </row>
    <row r="564" spans="1:10" x14ac:dyDescent="0.25">
      <c r="A564" s="3">
        <v>46086</v>
      </c>
      <c r="B564" s="5" t="s">
        <v>1003</v>
      </c>
      <c r="C564" s="5" t="s">
        <v>1003</v>
      </c>
      <c r="D564" s="5" t="s">
        <v>355</v>
      </c>
      <c r="E564" s="4" t="str">
        <f>"0097142867002"</f>
        <v>0097142867002</v>
      </c>
      <c r="F564" s="2" t="s">
        <v>12</v>
      </c>
      <c r="G564" s="2" t="s">
        <v>13</v>
      </c>
      <c r="H564" t="s">
        <v>14</v>
      </c>
      <c r="I564" s="1">
        <v>46086</v>
      </c>
      <c r="J564" t="s">
        <v>1004</v>
      </c>
    </row>
    <row r="565" spans="1:10" x14ac:dyDescent="0.25">
      <c r="A565" s="3">
        <v>46086</v>
      </c>
      <c r="B565" s="5" t="s">
        <v>1003</v>
      </c>
      <c r="C565" s="5" t="s">
        <v>1003</v>
      </c>
      <c r="D565" s="5" t="s">
        <v>355</v>
      </c>
      <c r="E565" s="4" t="str">
        <f>"00971525812406"</f>
        <v>00971525812406</v>
      </c>
      <c r="F565" s="2" t="s">
        <v>12</v>
      </c>
      <c r="G565" s="2" t="s">
        <v>13</v>
      </c>
      <c r="H565" t="s">
        <v>14</v>
      </c>
      <c r="I565" s="1">
        <v>46086</v>
      </c>
      <c r="J565" t="s">
        <v>1005</v>
      </c>
    </row>
    <row r="566" spans="1:10" x14ac:dyDescent="0.25">
      <c r="A566" s="3">
        <v>46086</v>
      </c>
      <c r="B566" s="5" t="s">
        <v>1006</v>
      </c>
      <c r="C566" s="5" t="s">
        <v>1006</v>
      </c>
      <c r="D566" s="5" t="s">
        <v>355</v>
      </c>
      <c r="E566" s="4" t="str">
        <f>"00971586131585"</f>
        <v>00971586131585</v>
      </c>
      <c r="F566" s="2" t="s">
        <v>12</v>
      </c>
      <c r="G566" s="2" t="s">
        <v>13</v>
      </c>
      <c r="H566" t="s">
        <v>14</v>
      </c>
      <c r="I566" s="1">
        <v>46086</v>
      </c>
      <c r="J566" t="s">
        <v>1007</v>
      </c>
    </row>
    <row r="567" spans="1:10" x14ac:dyDescent="0.25">
      <c r="A567" s="3">
        <v>46086</v>
      </c>
      <c r="B567" s="5" t="s">
        <v>1008</v>
      </c>
      <c r="C567" s="5" t="s">
        <v>1008</v>
      </c>
      <c r="D567" s="5" t="s">
        <v>355</v>
      </c>
      <c r="E567" s="4" t="str">
        <f>"0097143306444"</f>
        <v>0097143306444</v>
      </c>
      <c r="F567" s="2" t="s">
        <v>12</v>
      </c>
      <c r="G567" s="2" t="s">
        <v>13</v>
      </c>
      <c r="H567" t="s">
        <v>14</v>
      </c>
      <c r="I567" s="1">
        <v>46086</v>
      </c>
      <c r="J567" t="s">
        <v>1009</v>
      </c>
    </row>
    <row r="568" spans="1:10" x14ac:dyDescent="0.25">
      <c r="A568" s="3">
        <v>46086</v>
      </c>
      <c r="B568" s="5" t="s">
        <v>1010</v>
      </c>
      <c r="C568" s="5" t="s">
        <v>1010</v>
      </c>
      <c r="D568" s="5" t="s">
        <v>355</v>
      </c>
      <c r="E568" s="4" t="str">
        <f>"0097142261943"</f>
        <v>0097142261943</v>
      </c>
      <c r="F568" s="2" t="s">
        <v>12</v>
      </c>
      <c r="G568" s="2" t="s">
        <v>13</v>
      </c>
      <c r="H568" t="s">
        <v>14</v>
      </c>
      <c r="I568" s="1">
        <v>46086</v>
      </c>
      <c r="J568" t="s">
        <v>1011</v>
      </c>
    </row>
    <row r="569" spans="1:10" x14ac:dyDescent="0.25">
      <c r="A569" s="3">
        <v>46086</v>
      </c>
      <c r="B569" s="5" t="s">
        <v>1012</v>
      </c>
      <c r="C569" s="5" t="s">
        <v>1012</v>
      </c>
      <c r="D569" s="5" t="s">
        <v>355</v>
      </c>
      <c r="E569" s="4" t="str">
        <f>"0097143215668"</f>
        <v>0097143215668</v>
      </c>
      <c r="F569" s="2" t="s">
        <v>12</v>
      </c>
      <c r="G569" s="2" t="s">
        <v>13</v>
      </c>
      <c r="H569" t="s">
        <v>14</v>
      </c>
      <c r="I569" s="1">
        <v>46086</v>
      </c>
      <c r="J569" t="s">
        <v>1013</v>
      </c>
    </row>
    <row r="570" spans="1:10" x14ac:dyDescent="0.25">
      <c r="A570" s="3">
        <v>46086</v>
      </c>
      <c r="B570" s="5" t="s">
        <v>1012</v>
      </c>
      <c r="C570" s="5" t="s">
        <v>1012</v>
      </c>
      <c r="D570" s="5" t="s">
        <v>355</v>
      </c>
      <c r="E570" s="4" t="str">
        <f>"0097144229074"</f>
        <v>0097144229074</v>
      </c>
      <c r="F570" s="2" t="s">
        <v>12</v>
      </c>
      <c r="G570" s="2" t="s">
        <v>13</v>
      </c>
      <c r="H570" t="s">
        <v>14</v>
      </c>
      <c r="I570" s="1">
        <v>46086</v>
      </c>
      <c r="J570" t="s">
        <v>1014</v>
      </c>
    </row>
    <row r="571" spans="1:10" x14ac:dyDescent="0.25">
      <c r="A571" s="3">
        <v>46086</v>
      </c>
      <c r="B571" s="5" t="s">
        <v>1012</v>
      </c>
      <c r="C571" s="5" t="s">
        <v>1012</v>
      </c>
      <c r="D571" s="5" t="s">
        <v>355</v>
      </c>
      <c r="E571" s="4" t="str">
        <f>"00971564971284"</f>
        <v>00971564971284</v>
      </c>
      <c r="F571" s="2" t="s">
        <v>12</v>
      </c>
      <c r="G571" s="2" t="s">
        <v>13</v>
      </c>
      <c r="H571" t="s">
        <v>14</v>
      </c>
      <c r="I571" s="1">
        <v>46086</v>
      </c>
      <c r="J571" t="s">
        <v>1015</v>
      </c>
    </row>
    <row r="572" spans="1:10" x14ac:dyDescent="0.25">
      <c r="A572" s="3">
        <v>46086</v>
      </c>
      <c r="B572" s="5" t="s">
        <v>1016</v>
      </c>
      <c r="C572" s="5" t="s">
        <v>1016</v>
      </c>
      <c r="D572" s="5" t="s">
        <v>355</v>
      </c>
      <c r="E572" s="4" t="str">
        <f>"0097143378323"</f>
        <v>0097143378323</v>
      </c>
      <c r="F572" s="2" t="s">
        <v>12</v>
      </c>
      <c r="G572" s="2" t="s">
        <v>13</v>
      </c>
      <c r="H572" t="s">
        <v>14</v>
      </c>
      <c r="I572" s="1">
        <v>46086</v>
      </c>
      <c r="J572" t="s">
        <v>1017</v>
      </c>
    </row>
    <row r="573" spans="1:10" x14ac:dyDescent="0.25">
      <c r="A573" s="3">
        <v>46086</v>
      </c>
      <c r="B573" s="5" t="s">
        <v>1018</v>
      </c>
      <c r="C573" s="5" t="s">
        <v>1018</v>
      </c>
      <c r="D573" s="5" t="s">
        <v>355</v>
      </c>
      <c r="E573" s="4" t="str">
        <f>"0097143394906"</f>
        <v>0097143394906</v>
      </c>
      <c r="F573" s="2" t="s">
        <v>12</v>
      </c>
      <c r="G573" s="2" t="s">
        <v>13</v>
      </c>
      <c r="H573" t="s">
        <v>14</v>
      </c>
      <c r="I573" s="1">
        <v>46086</v>
      </c>
      <c r="J573" t="s">
        <v>1019</v>
      </c>
    </row>
    <row r="574" spans="1:10" x14ac:dyDescent="0.25">
      <c r="A574" s="3">
        <v>46086</v>
      </c>
      <c r="B574" s="5" t="s">
        <v>1020</v>
      </c>
      <c r="C574" s="5" t="s">
        <v>1020</v>
      </c>
      <c r="D574" s="5" t="s">
        <v>355</v>
      </c>
      <c r="E574" s="4" t="str">
        <f>"0097143435722"</f>
        <v>0097143435722</v>
      </c>
      <c r="F574" s="2" t="s">
        <v>12</v>
      </c>
      <c r="G574" s="2" t="s">
        <v>13</v>
      </c>
      <c r="H574" t="s">
        <v>14</v>
      </c>
      <c r="I574" s="1">
        <v>46086</v>
      </c>
      <c r="J574" t="s">
        <v>1021</v>
      </c>
    </row>
    <row r="575" spans="1:10" x14ac:dyDescent="0.25">
      <c r="A575" s="3">
        <v>46086</v>
      </c>
      <c r="B575" s="5" t="s">
        <v>1022</v>
      </c>
      <c r="C575" s="5" t="s">
        <v>1022</v>
      </c>
      <c r="D575" s="5" t="s">
        <v>355</v>
      </c>
      <c r="E575" s="4" t="str">
        <f>"0097143493992"</f>
        <v>0097143493992</v>
      </c>
      <c r="F575" s="2" t="s">
        <v>12</v>
      </c>
      <c r="G575" s="2" t="s">
        <v>13</v>
      </c>
      <c r="H575" t="s">
        <v>14</v>
      </c>
      <c r="I575" s="1">
        <v>46086</v>
      </c>
      <c r="J575" t="s">
        <v>1023</v>
      </c>
    </row>
    <row r="576" spans="1:10" x14ac:dyDescent="0.25">
      <c r="A576" s="3">
        <v>46086</v>
      </c>
      <c r="B576" s="5" t="s">
        <v>1024</v>
      </c>
      <c r="C576" s="5" t="s">
        <v>1024</v>
      </c>
      <c r="D576" s="5" t="s">
        <v>355</v>
      </c>
      <c r="E576" s="4" t="str">
        <f>"00971564170555"</f>
        <v>00971564170555</v>
      </c>
      <c r="F576" s="2" t="s">
        <v>12</v>
      </c>
      <c r="G576" s="2" t="s">
        <v>13</v>
      </c>
      <c r="H576" t="s">
        <v>14</v>
      </c>
      <c r="I576" s="1">
        <v>46086</v>
      </c>
      <c r="J576" t="s">
        <v>1025</v>
      </c>
    </row>
    <row r="577" spans="1:10" x14ac:dyDescent="0.25">
      <c r="A577" s="3">
        <v>46086</v>
      </c>
      <c r="B577" s="5" t="s">
        <v>1026</v>
      </c>
      <c r="C577" s="5" t="s">
        <v>1026</v>
      </c>
      <c r="D577" s="5" t="s">
        <v>355</v>
      </c>
      <c r="E577" s="4" t="str">
        <f>"0097145899991"</f>
        <v>0097145899991</v>
      </c>
      <c r="F577" s="2" t="s">
        <v>12</v>
      </c>
      <c r="G577" s="2" t="s">
        <v>13</v>
      </c>
      <c r="H577" t="s">
        <v>14</v>
      </c>
      <c r="I577" s="1">
        <v>46086</v>
      </c>
      <c r="J577" t="s">
        <v>1027</v>
      </c>
    </row>
    <row r="578" spans="1:10" x14ac:dyDescent="0.25">
      <c r="A578" s="3">
        <v>46086</v>
      </c>
      <c r="B578" s="5" t="s">
        <v>1028</v>
      </c>
      <c r="C578" s="5" t="s">
        <v>1028</v>
      </c>
      <c r="D578" s="5" t="s">
        <v>355</v>
      </c>
      <c r="E578" s="4" t="str">
        <f>"0097143258028"</f>
        <v>0097143258028</v>
      </c>
      <c r="F578" s="2" t="s">
        <v>12</v>
      </c>
      <c r="G578" s="2" t="s">
        <v>13</v>
      </c>
      <c r="H578" t="s">
        <v>14</v>
      </c>
      <c r="I578" s="1">
        <v>46086</v>
      </c>
      <c r="J578" t="s">
        <v>1029</v>
      </c>
    </row>
    <row r="579" spans="1:10" x14ac:dyDescent="0.25">
      <c r="A579" s="3">
        <v>46086</v>
      </c>
      <c r="B579" s="5" t="s">
        <v>1028</v>
      </c>
      <c r="C579" s="5" t="s">
        <v>1028</v>
      </c>
      <c r="D579" s="5" t="s">
        <v>355</v>
      </c>
      <c r="E579" s="4" t="str">
        <f>"00971555521108"</f>
        <v>00971555521108</v>
      </c>
      <c r="F579" s="2" t="s">
        <v>12</v>
      </c>
      <c r="G579" s="2" t="s">
        <v>13</v>
      </c>
      <c r="H579" t="s">
        <v>14</v>
      </c>
      <c r="I579" s="1">
        <v>46086</v>
      </c>
      <c r="J579" t="s">
        <v>1030</v>
      </c>
    </row>
    <row r="580" spans="1:10" x14ac:dyDescent="0.25">
      <c r="A580" s="3">
        <v>46086</v>
      </c>
      <c r="B580" s="5" t="s">
        <v>1031</v>
      </c>
      <c r="C580" s="5" t="s">
        <v>1031</v>
      </c>
      <c r="D580" s="5" t="s">
        <v>355</v>
      </c>
      <c r="E580" s="4" t="str">
        <f>"0097143538101"</f>
        <v>0097143538101</v>
      </c>
      <c r="F580" s="2" t="s">
        <v>12</v>
      </c>
      <c r="G580" s="2" t="s">
        <v>13</v>
      </c>
      <c r="H580" t="s">
        <v>14</v>
      </c>
      <c r="I580" s="1">
        <v>46086</v>
      </c>
      <c r="J580" t="s">
        <v>1032</v>
      </c>
    </row>
    <row r="581" spans="1:10" x14ac:dyDescent="0.25">
      <c r="A581" s="3">
        <v>46086</v>
      </c>
      <c r="B581" s="5" t="s">
        <v>1033</v>
      </c>
      <c r="C581" s="5" t="s">
        <v>1033</v>
      </c>
      <c r="D581" s="5" t="s">
        <v>355</v>
      </c>
      <c r="E581" s="4" t="str">
        <f>"00971508765847"</f>
        <v>00971508765847</v>
      </c>
      <c r="F581" s="2" t="s">
        <v>12</v>
      </c>
      <c r="G581" s="2" t="s">
        <v>13</v>
      </c>
      <c r="H581" t="s">
        <v>14</v>
      </c>
      <c r="I581" s="1">
        <v>46086</v>
      </c>
      <c r="J581" t="s">
        <v>1034</v>
      </c>
    </row>
    <row r="582" spans="1:10" x14ac:dyDescent="0.25">
      <c r="A582" s="3">
        <v>46086</v>
      </c>
      <c r="B582" s="5" t="s">
        <v>1033</v>
      </c>
      <c r="C582" s="5" t="s">
        <v>1033</v>
      </c>
      <c r="D582" s="5" t="s">
        <v>355</v>
      </c>
      <c r="E582" s="4" t="str">
        <f>"00971522116786"</f>
        <v>00971522116786</v>
      </c>
      <c r="F582" s="2" t="s">
        <v>12</v>
      </c>
      <c r="G582" s="2" t="s">
        <v>13</v>
      </c>
      <c r="H582" t="s">
        <v>14</v>
      </c>
      <c r="I582" s="1">
        <v>46086</v>
      </c>
      <c r="J582" t="s">
        <v>1034</v>
      </c>
    </row>
    <row r="583" spans="1:10" x14ac:dyDescent="0.25">
      <c r="A583" s="3">
        <v>46086</v>
      </c>
      <c r="B583" s="5" t="s">
        <v>1035</v>
      </c>
      <c r="C583" s="5" t="s">
        <v>1035</v>
      </c>
      <c r="D583" s="5" t="s">
        <v>355</v>
      </c>
      <c r="E583" s="4" t="str">
        <f>"00971555293874"</f>
        <v>00971555293874</v>
      </c>
      <c r="F583" s="2" t="s">
        <v>12</v>
      </c>
      <c r="G583" s="2" t="s">
        <v>13</v>
      </c>
      <c r="H583" t="s">
        <v>14</v>
      </c>
      <c r="I583" s="1">
        <v>46086</v>
      </c>
      <c r="J583" t="s">
        <v>1036</v>
      </c>
    </row>
    <row r="584" spans="1:10" x14ac:dyDescent="0.25">
      <c r="A584" s="3">
        <v>46086</v>
      </c>
      <c r="B584" s="5" t="s">
        <v>1037</v>
      </c>
      <c r="C584" s="5" t="s">
        <v>1037</v>
      </c>
      <c r="D584" s="5" t="s">
        <v>355</v>
      </c>
      <c r="E584" s="4" t="str">
        <f>"0097143399987"</f>
        <v>0097143399987</v>
      </c>
      <c r="F584" s="2" t="s">
        <v>12</v>
      </c>
      <c r="G584" s="2" t="s">
        <v>13</v>
      </c>
      <c r="H584" t="s">
        <v>14</v>
      </c>
      <c r="I584" s="1">
        <v>46086</v>
      </c>
      <c r="J584" t="s">
        <v>1038</v>
      </c>
    </row>
    <row r="585" spans="1:10" x14ac:dyDescent="0.25">
      <c r="A585" s="3">
        <v>46086</v>
      </c>
      <c r="B585" s="5" t="s">
        <v>1039</v>
      </c>
      <c r="C585" s="5" t="s">
        <v>1039</v>
      </c>
      <c r="D585" s="5" t="s">
        <v>355</v>
      </c>
      <c r="E585" s="4" t="str">
        <f>"0097143599992"</f>
        <v>0097143599992</v>
      </c>
      <c r="F585" s="2" t="s">
        <v>12</v>
      </c>
      <c r="G585" s="2" t="s">
        <v>13</v>
      </c>
      <c r="H585" t="s">
        <v>14</v>
      </c>
      <c r="I585" s="1">
        <v>46086</v>
      </c>
      <c r="J585" t="s">
        <v>1040</v>
      </c>
    </row>
    <row r="586" spans="1:10" x14ac:dyDescent="0.25">
      <c r="A586" s="3">
        <v>46086</v>
      </c>
      <c r="B586" s="5" t="s">
        <v>1041</v>
      </c>
      <c r="C586" s="5" t="s">
        <v>1041</v>
      </c>
      <c r="D586" s="5" t="s">
        <v>355</v>
      </c>
      <c r="E586" s="4" t="str">
        <f>"0097142368483"</f>
        <v>0097142368483</v>
      </c>
      <c r="F586" s="2" t="s">
        <v>12</v>
      </c>
      <c r="G586" s="2" t="s">
        <v>13</v>
      </c>
      <c r="H586" t="s">
        <v>14</v>
      </c>
      <c r="I586" s="1">
        <v>46086</v>
      </c>
      <c r="J586" t="s">
        <v>1042</v>
      </c>
    </row>
    <row r="587" spans="1:10" x14ac:dyDescent="0.25">
      <c r="A587" s="3">
        <v>46086</v>
      </c>
      <c r="B587" s="5" t="s">
        <v>1043</v>
      </c>
      <c r="C587" s="5" t="s">
        <v>1043</v>
      </c>
      <c r="D587" s="5" t="s">
        <v>355</v>
      </c>
      <c r="E587" s="4" t="str">
        <f>"0097143548080"</f>
        <v>0097143548080</v>
      </c>
      <c r="F587" s="2" t="s">
        <v>12</v>
      </c>
      <c r="G587" s="2" t="s">
        <v>13</v>
      </c>
      <c r="H587" t="s">
        <v>14</v>
      </c>
      <c r="I587" s="1">
        <v>46086</v>
      </c>
      <c r="J587" t="s">
        <v>1044</v>
      </c>
    </row>
    <row r="588" spans="1:10" x14ac:dyDescent="0.25">
      <c r="A588" s="3">
        <v>46086</v>
      </c>
      <c r="B588" s="5" t="s">
        <v>1043</v>
      </c>
      <c r="C588" s="5" t="s">
        <v>1043</v>
      </c>
      <c r="D588" s="5" t="s">
        <v>355</v>
      </c>
      <c r="E588" s="4" t="str">
        <f>"0097145597866"</f>
        <v>0097145597866</v>
      </c>
      <c r="F588" s="2" t="s">
        <v>12</v>
      </c>
      <c r="G588" s="2" t="s">
        <v>13</v>
      </c>
      <c r="H588" t="s">
        <v>14</v>
      </c>
      <c r="I588" s="1">
        <v>46086</v>
      </c>
      <c r="J588" t="s">
        <v>1045</v>
      </c>
    </row>
    <row r="589" spans="1:10" x14ac:dyDescent="0.25">
      <c r="A589" s="3">
        <v>46086</v>
      </c>
      <c r="B589" s="5" t="s">
        <v>1046</v>
      </c>
      <c r="C589" s="5" t="s">
        <v>1046</v>
      </c>
      <c r="D589" s="5" t="s">
        <v>355</v>
      </c>
      <c r="E589" s="4" t="str">
        <f>"0097142575654"</f>
        <v>0097142575654</v>
      </c>
      <c r="F589" s="2" t="s">
        <v>12</v>
      </c>
      <c r="G589" s="2" t="s">
        <v>13</v>
      </c>
      <c r="H589" t="s">
        <v>14</v>
      </c>
      <c r="I589" s="1">
        <v>46086</v>
      </c>
      <c r="J589" t="s">
        <v>1047</v>
      </c>
    </row>
    <row r="590" spans="1:10" x14ac:dyDescent="0.25">
      <c r="A590" s="3">
        <v>46086</v>
      </c>
      <c r="B590" s="5" t="s">
        <v>1046</v>
      </c>
      <c r="C590" s="5" t="s">
        <v>1046</v>
      </c>
      <c r="D590" s="5" t="s">
        <v>355</v>
      </c>
      <c r="E590" s="4" t="str">
        <f>"00971506746193"</f>
        <v>00971506746193</v>
      </c>
      <c r="F590" s="2" t="s">
        <v>12</v>
      </c>
      <c r="G590" s="2" t="s">
        <v>13</v>
      </c>
      <c r="H590" t="s">
        <v>14</v>
      </c>
      <c r="I590" s="1">
        <v>46086</v>
      </c>
      <c r="J590" t="s">
        <v>1048</v>
      </c>
    </row>
    <row r="591" spans="1:10" x14ac:dyDescent="0.25">
      <c r="A591" s="3">
        <v>46086</v>
      </c>
      <c r="B591" s="5" t="s">
        <v>1049</v>
      </c>
      <c r="C591" s="5" t="s">
        <v>1049</v>
      </c>
      <c r="D591" s="5" t="s">
        <v>355</v>
      </c>
      <c r="E591" s="4" t="str">
        <f>"0097143961962"</f>
        <v>0097143961962</v>
      </c>
      <c r="F591" s="2" t="s">
        <v>12</v>
      </c>
      <c r="G591" s="2" t="s">
        <v>13</v>
      </c>
      <c r="H591" t="s">
        <v>14</v>
      </c>
      <c r="I591" s="1">
        <v>46086</v>
      </c>
      <c r="J591" t="s">
        <v>1050</v>
      </c>
    </row>
    <row r="592" spans="1:10" x14ac:dyDescent="0.25">
      <c r="A592" s="3">
        <v>46086</v>
      </c>
      <c r="B592" s="5" t="s">
        <v>1051</v>
      </c>
      <c r="C592" s="5" t="s">
        <v>1051</v>
      </c>
      <c r="D592" s="5" t="s">
        <v>355</v>
      </c>
      <c r="E592" s="4" t="str">
        <f>"0097142352901"</f>
        <v>0097142352901</v>
      </c>
      <c r="F592" s="2" t="s">
        <v>12</v>
      </c>
      <c r="G592" s="2" t="s">
        <v>13</v>
      </c>
      <c r="H592" t="s">
        <v>14</v>
      </c>
      <c r="I592" s="1">
        <v>46086</v>
      </c>
      <c r="J592" t="s">
        <v>1052</v>
      </c>
    </row>
    <row r="593" spans="1:10" x14ac:dyDescent="0.25">
      <c r="A593" s="3">
        <v>46086</v>
      </c>
      <c r="B593" s="5" t="s">
        <v>1053</v>
      </c>
      <c r="C593" s="5" t="s">
        <v>1053</v>
      </c>
      <c r="D593" s="5" t="s">
        <v>355</v>
      </c>
      <c r="E593" s="4" t="str">
        <f>"0097142825353"</f>
        <v>0097142825353</v>
      </c>
      <c r="F593" s="2" t="s">
        <v>12</v>
      </c>
      <c r="G593" s="2" t="s">
        <v>13</v>
      </c>
      <c r="H593" t="s">
        <v>14</v>
      </c>
      <c r="I593" s="1">
        <v>46086</v>
      </c>
      <c r="J593" t="s">
        <v>1054</v>
      </c>
    </row>
    <row r="594" spans="1:10" x14ac:dyDescent="0.25">
      <c r="A594" s="3">
        <v>46086</v>
      </c>
      <c r="B594" s="5" t="s">
        <v>1055</v>
      </c>
      <c r="C594" s="5" t="s">
        <v>1055</v>
      </c>
      <c r="D594" s="5" t="s">
        <v>355</v>
      </c>
      <c r="E594" s="4" t="str">
        <f>"00971528216358"</f>
        <v>00971528216358</v>
      </c>
      <c r="F594" s="2" t="s">
        <v>12</v>
      </c>
      <c r="G594" s="2" t="s">
        <v>13</v>
      </c>
      <c r="H594" t="s">
        <v>14</v>
      </c>
      <c r="I594" s="1">
        <v>46086</v>
      </c>
      <c r="J594" t="s">
        <v>1056</v>
      </c>
    </row>
    <row r="595" spans="1:10" x14ac:dyDescent="0.25">
      <c r="A595" s="3">
        <v>46086</v>
      </c>
      <c r="B595" s="5" t="s">
        <v>1057</v>
      </c>
      <c r="C595" s="5" t="s">
        <v>1057</v>
      </c>
      <c r="D595" s="5" t="s">
        <v>355</v>
      </c>
      <c r="E595" s="4" t="str">
        <f>"0097142651500"</f>
        <v>0097142651500</v>
      </c>
      <c r="F595" s="2" t="s">
        <v>12</v>
      </c>
      <c r="G595" s="2" t="s">
        <v>13</v>
      </c>
      <c r="H595" t="s">
        <v>14</v>
      </c>
      <c r="I595" s="1">
        <v>46086</v>
      </c>
      <c r="J595" t="s">
        <v>1058</v>
      </c>
    </row>
    <row r="596" spans="1:10" x14ac:dyDescent="0.25">
      <c r="A596" s="3">
        <v>46086</v>
      </c>
      <c r="B596" s="5" t="s">
        <v>1057</v>
      </c>
      <c r="C596" s="5" t="s">
        <v>1057</v>
      </c>
      <c r="D596" s="5" t="s">
        <v>355</v>
      </c>
      <c r="E596" s="4" t="str">
        <f>"00971529665544"</f>
        <v>00971529665544</v>
      </c>
      <c r="F596" s="2" t="s">
        <v>12</v>
      </c>
      <c r="G596" s="2" t="s">
        <v>13</v>
      </c>
      <c r="H596" t="s">
        <v>14</v>
      </c>
      <c r="I596" s="1">
        <v>46086</v>
      </c>
      <c r="J596" t="s">
        <v>1059</v>
      </c>
    </row>
    <row r="597" spans="1:10" x14ac:dyDescent="0.25">
      <c r="A597" s="3">
        <v>46086</v>
      </c>
      <c r="B597" s="5" t="s">
        <v>1060</v>
      </c>
      <c r="C597" s="5" t="s">
        <v>1060</v>
      </c>
      <c r="D597" s="5" t="s">
        <v>355</v>
      </c>
      <c r="E597" s="4" t="str">
        <f>"0097142651500"</f>
        <v>0097142651500</v>
      </c>
      <c r="F597" s="2" t="s">
        <v>12</v>
      </c>
      <c r="G597" s="2" t="s">
        <v>13</v>
      </c>
      <c r="H597" t="s">
        <v>14</v>
      </c>
      <c r="I597" s="1">
        <v>46086</v>
      </c>
      <c r="J597" t="s">
        <v>1061</v>
      </c>
    </row>
    <row r="598" spans="1:10" x14ac:dyDescent="0.25">
      <c r="A598" s="3">
        <v>46086</v>
      </c>
      <c r="B598" s="5" t="s">
        <v>1062</v>
      </c>
      <c r="C598" s="5" t="s">
        <v>1062</v>
      </c>
      <c r="D598" s="5" t="s">
        <v>355</v>
      </c>
      <c r="E598" s="4" t="str">
        <f>"00971561400112"</f>
        <v>00971561400112</v>
      </c>
      <c r="F598" s="2" t="s">
        <v>12</v>
      </c>
      <c r="G598" s="2" t="s">
        <v>13</v>
      </c>
      <c r="H598" t="s">
        <v>14</v>
      </c>
      <c r="I598" s="1">
        <v>46086</v>
      </c>
      <c r="J598" t="s">
        <v>1063</v>
      </c>
    </row>
    <row r="599" spans="1:10" x14ac:dyDescent="0.25">
      <c r="A599" s="3">
        <v>46086</v>
      </c>
      <c r="B599" s="5" t="s">
        <v>1064</v>
      </c>
      <c r="C599" s="5" t="s">
        <v>1064</v>
      </c>
      <c r="D599" s="5" t="s">
        <v>355</v>
      </c>
      <c r="E599" s="4" t="str">
        <f>"00971502213359"</f>
        <v>00971502213359</v>
      </c>
      <c r="F599" s="2" t="s">
        <v>12</v>
      </c>
      <c r="G599" s="2" t="s">
        <v>13</v>
      </c>
      <c r="H599" t="s">
        <v>14</v>
      </c>
      <c r="I599" s="1">
        <v>46086</v>
      </c>
      <c r="J599" t="s">
        <v>1065</v>
      </c>
    </row>
    <row r="600" spans="1:10" x14ac:dyDescent="0.25">
      <c r="A600" s="3">
        <v>46086</v>
      </c>
      <c r="B600" s="5" t="s">
        <v>1066</v>
      </c>
      <c r="C600" s="5" t="s">
        <v>1066</v>
      </c>
      <c r="D600" s="5" t="s">
        <v>355</v>
      </c>
      <c r="E600" s="4" t="str">
        <f>"00971558607943"</f>
        <v>00971558607943</v>
      </c>
      <c r="F600" s="2" t="s">
        <v>12</v>
      </c>
      <c r="G600" s="2" t="s">
        <v>13</v>
      </c>
      <c r="H600" t="s">
        <v>14</v>
      </c>
      <c r="I600" s="1">
        <v>46086</v>
      </c>
      <c r="J600" t="s">
        <v>1067</v>
      </c>
    </row>
    <row r="601" spans="1:10" x14ac:dyDescent="0.25">
      <c r="A601" s="3">
        <v>46086</v>
      </c>
      <c r="B601" s="5" t="s">
        <v>1066</v>
      </c>
      <c r="C601" s="5" t="s">
        <v>1066</v>
      </c>
      <c r="D601" s="5" t="s">
        <v>355</v>
      </c>
      <c r="E601" s="4" t="str">
        <f>"00971561937863"</f>
        <v>00971561937863</v>
      </c>
      <c r="F601" s="2" t="s">
        <v>12</v>
      </c>
      <c r="G601" s="2" t="s">
        <v>13</v>
      </c>
      <c r="H601" t="s">
        <v>14</v>
      </c>
      <c r="I601" s="1">
        <v>46086</v>
      </c>
      <c r="J601" t="s">
        <v>1067</v>
      </c>
    </row>
    <row r="602" spans="1:10" x14ac:dyDescent="0.25">
      <c r="A602" s="3">
        <v>46086</v>
      </c>
      <c r="B602" s="5" t="s">
        <v>1068</v>
      </c>
      <c r="C602" s="5" t="s">
        <v>1068</v>
      </c>
      <c r="D602" s="5" t="s">
        <v>355</v>
      </c>
      <c r="E602" s="4" t="str">
        <f>"0097142662525"</f>
        <v>0097142662525</v>
      </c>
      <c r="F602" s="2" t="s">
        <v>12</v>
      </c>
      <c r="G602" s="2" t="s">
        <v>13</v>
      </c>
      <c r="H602" t="s">
        <v>14</v>
      </c>
      <c r="I602" s="1">
        <v>46086</v>
      </c>
      <c r="J602" t="s">
        <v>1069</v>
      </c>
    </row>
    <row r="603" spans="1:10" x14ac:dyDescent="0.25">
      <c r="A603" s="3">
        <v>46086</v>
      </c>
      <c r="B603" s="5" t="s">
        <v>1070</v>
      </c>
      <c r="C603" s="5" t="s">
        <v>1070</v>
      </c>
      <c r="D603" s="5" t="s">
        <v>355</v>
      </c>
      <c r="E603" s="4" t="str">
        <f>"0097143355414"</f>
        <v>0097143355414</v>
      </c>
      <c r="F603" s="2" t="s">
        <v>12</v>
      </c>
      <c r="G603" s="2" t="s">
        <v>13</v>
      </c>
      <c r="H603" t="s">
        <v>14</v>
      </c>
      <c r="I603" s="1">
        <v>46086</v>
      </c>
      <c r="J603" t="s">
        <v>1071</v>
      </c>
    </row>
    <row r="604" spans="1:10" x14ac:dyDescent="0.25">
      <c r="A604" s="3">
        <v>46086</v>
      </c>
      <c r="B604" s="5" t="s">
        <v>1072</v>
      </c>
      <c r="C604" s="5" t="s">
        <v>1072</v>
      </c>
      <c r="D604" s="5" t="s">
        <v>355</v>
      </c>
      <c r="E604" s="4" t="str">
        <f>"0097142676919"</f>
        <v>0097142676919</v>
      </c>
      <c r="F604" s="2" t="s">
        <v>12</v>
      </c>
      <c r="G604" s="2" t="s">
        <v>13</v>
      </c>
      <c r="H604" t="s">
        <v>14</v>
      </c>
      <c r="I604" s="1">
        <v>46086</v>
      </c>
      <c r="J604" t="s">
        <v>1073</v>
      </c>
    </row>
    <row r="605" spans="1:10" x14ac:dyDescent="0.25">
      <c r="A605" s="3">
        <v>46086</v>
      </c>
      <c r="B605" s="5" t="s">
        <v>1074</v>
      </c>
      <c r="C605" s="5" t="s">
        <v>1074</v>
      </c>
      <c r="D605" s="5" t="s">
        <v>355</v>
      </c>
      <c r="E605" s="4" t="str">
        <f>"0097143417728"</f>
        <v>0097143417728</v>
      </c>
      <c r="F605" s="2" t="s">
        <v>12</v>
      </c>
      <c r="G605" s="2" t="s">
        <v>13</v>
      </c>
      <c r="H605" t="s">
        <v>14</v>
      </c>
      <c r="I605" s="1">
        <v>46086</v>
      </c>
      <c r="J605" t="s">
        <v>1075</v>
      </c>
    </row>
    <row r="606" spans="1:10" x14ac:dyDescent="0.25">
      <c r="A606" s="3">
        <v>46086</v>
      </c>
      <c r="B606" s="5" t="s">
        <v>1074</v>
      </c>
      <c r="C606" s="5" t="s">
        <v>1074</v>
      </c>
      <c r="D606" s="5" t="s">
        <v>355</v>
      </c>
      <c r="E606" s="4" t="str">
        <f>"00971526401884"</f>
        <v>00971526401884</v>
      </c>
      <c r="F606" s="2" t="s">
        <v>12</v>
      </c>
      <c r="G606" s="2" t="s">
        <v>13</v>
      </c>
      <c r="H606" t="s">
        <v>14</v>
      </c>
      <c r="I606" s="1">
        <v>46086</v>
      </c>
      <c r="J606" t="s">
        <v>1076</v>
      </c>
    </row>
    <row r="607" spans="1:10" x14ac:dyDescent="0.25">
      <c r="A607" s="3">
        <v>46086</v>
      </c>
      <c r="B607" s="5" t="s">
        <v>1077</v>
      </c>
      <c r="C607" s="5" t="s">
        <v>1077</v>
      </c>
      <c r="D607" s="5" t="s">
        <v>355</v>
      </c>
      <c r="E607" s="4" t="str">
        <f>"0097143688756"</f>
        <v>0097143688756</v>
      </c>
      <c r="F607" s="2" t="s">
        <v>12</v>
      </c>
      <c r="G607" s="2" t="s">
        <v>13</v>
      </c>
      <c r="H607" t="s">
        <v>14</v>
      </c>
      <c r="I607" s="1">
        <v>46086</v>
      </c>
      <c r="J607" t="s">
        <v>1078</v>
      </c>
    </row>
    <row r="608" spans="1:10" x14ac:dyDescent="0.25">
      <c r="A608" s="3">
        <v>46086</v>
      </c>
      <c r="B608" s="5" t="s">
        <v>1079</v>
      </c>
      <c r="C608" s="5" t="s">
        <v>1079</v>
      </c>
      <c r="D608" s="5" t="s">
        <v>355</v>
      </c>
      <c r="E608" s="4" t="str">
        <f>"0097142420333"</f>
        <v>0097142420333</v>
      </c>
      <c r="F608" s="2" t="s">
        <v>12</v>
      </c>
      <c r="G608" s="2" t="s">
        <v>13</v>
      </c>
      <c r="H608" t="s">
        <v>14</v>
      </c>
      <c r="I608" s="1">
        <v>46086</v>
      </c>
      <c r="J608" t="s">
        <v>1080</v>
      </c>
    </row>
    <row r="609" spans="1:10" x14ac:dyDescent="0.25">
      <c r="A609" s="3">
        <v>46086</v>
      </c>
      <c r="B609" s="5" t="s">
        <v>1081</v>
      </c>
      <c r="C609" s="5" t="s">
        <v>1081</v>
      </c>
      <c r="D609" s="5" t="s">
        <v>355</v>
      </c>
      <c r="E609" s="4" t="str">
        <f>"0097143433965"</f>
        <v>0097143433965</v>
      </c>
      <c r="F609" s="2" t="s">
        <v>12</v>
      </c>
      <c r="G609" s="2" t="s">
        <v>13</v>
      </c>
      <c r="H609" t="s">
        <v>14</v>
      </c>
      <c r="I609" s="1">
        <v>46086</v>
      </c>
      <c r="J609" t="s">
        <v>1082</v>
      </c>
    </row>
    <row r="610" spans="1:10" x14ac:dyDescent="0.25">
      <c r="A610" s="3">
        <v>46086</v>
      </c>
      <c r="B610" s="5" t="s">
        <v>1081</v>
      </c>
      <c r="C610" s="5" t="s">
        <v>1081</v>
      </c>
      <c r="D610" s="5" t="s">
        <v>355</v>
      </c>
      <c r="E610" s="4" t="str">
        <f>"00971501428777"</f>
        <v>00971501428777</v>
      </c>
      <c r="F610" s="2" t="s">
        <v>12</v>
      </c>
      <c r="G610" s="2" t="s">
        <v>13</v>
      </c>
      <c r="H610" t="s">
        <v>14</v>
      </c>
      <c r="I610" s="1">
        <v>46086</v>
      </c>
      <c r="J610" t="s">
        <v>1083</v>
      </c>
    </row>
    <row r="611" spans="1:10" x14ac:dyDescent="0.25">
      <c r="A611" s="3">
        <v>46086</v>
      </c>
      <c r="B611" s="5" t="s">
        <v>1084</v>
      </c>
      <c r="C611" s="5" t="s">
        <v>1084</v>
      </c>
      <c r="D611" s="5" t="s">
        <v>355</v>
      </c>
      <c r="E611" s="4" t="str">
        <f>"0097142671226"</f>
        <v>0097142671226</v>
      </c>
      <c r="F611" s="2" t="s">
        <v>12</v>
      </c>
      <c r="G611" s="2" t="s">
        <v>13</v>
      </c>
      <c r="H611" t="s">
        <v>14</v>
      </c>
      <c r="I611" s="1">
        <v>46086</v>
      </c>
      <c r="J611" t="s">
        <v>1085</v>
      </c>
    </row>
    <row r="612" spans="1:10" x14ac:dyDescent="0.25">
      <c r="A612" s="3">
        <v>46086</v>
      </c>
      <c r="B612" s="5" t="s">
        <v>1084</v>
      </c>
      <c r="C612" s="5" t="s">
        <v>1084</v>
      </c>
      <c r="D612" s="5" t="s">
        <v>355</v>
      </c>
      <c r="E612" s="4" t="str">
        <f>"00971508759775"</f>
        <v>00971508759775</v>
      </c>
      <c r="F612" s="2" t="s">
        <v>12</v>
      </c>
      <c r="G612" s="2" t="s">
        <v>13</v>
      </c>
      <c r="H612" t="s">
        <v>14</v>
      </c>
      <c r="I612" s="1">
        <v>46086</v>
      </c>
      <c r="J612" t="s">
        <v>1086</v>
      </c>
    </row>
    <row r="613" spans="1:10" x14ac:dyDescent="0.25">
      <c r="A613" s="3">
        <v>46086</v>
      </c>
      <c r="B613" s="5" t="s">
        <v>1087</v>
      </c>
      <c r="C613" s="5" t="s">
        <v>1087</v>
      </c>
      <c r="D613" s="5" t="s">
        <v>355</v>
      </c>
      <c r="E613" s="4" t="str">
        <f>"0097143377825"</f>
        <v>0097143377825</v>
      </c>
      <c r="F613" s="2" t="s">
        <v>12</v>
      </c>
      <c r="G613" s="2" t="s">
        <v>13</v>
      </c>
      <c r="H613" t="s">
        <v>14</v>
      </c>
      <c r="I613" s="1">
        <v>46086</v>
      </c>
      <c r="J613" t="s">
        <v>1088</v>
      </c>
    </row>
    <row r="614" spans="1:10" x14ac:dyDescent="0.25">
      <c r="A614" s="3">
        <v>46086</v>
      </c>
      <c r="B614" s="5" t="s">
        <v>1089</v>
      </c>
      <c r="C614" s="5" t="s">
        <v>1089</v>
      </c>
      <c r="D614" s="5" t="s">
        <v>355</v>
      </c>
      <c r="E614" s="4" t="str">
        <f>"0097142011111"</f>
        <v>0097142011111</v>
      </c>
      <c r="F614" s="2" t="s">
        <v>12</v>
      </c>
      <c r="G614" s="2" t="s">
        <v>13</v>
      </c>
      <c r="H614" t="s">
        <v>14</v>
      </c>
      <c r="I614" s="1">
        <v>46086</v>
      </c>
      <c r="J614" t="s">
        <v>1090</v>
      </c>
    </row>
    <row r="615" spans="1:10" x14ac:dyDescent="0.25">
      <c r="A615" s="3">
        <v>46086</v>
      </c>
      <c r="B615" s="5" t="s">
        <v>1089</v>
      </c>
      <c r="C615" s="5" t="s">
        <v>1089</v>
      </c>
      <c r="D615" s="5" t="s">
        <v>355</v>
      </c>
      <c r="E615" s="4" t="str">
        <f>"0097143331700"</f>
        <v>0097143331700</v>
      </c>
      <c r="F615" s="2" t="s">
        <v>12</v>
      </c>
      <c r="G615" s="2" t="s">
        <v>13</v>
      </c>
      <c r="H615" t="s">
        <v>14</v>
      </c>
      <c r="I615" s="1">
        <v>46086</v>
      </c>
      <c r="J615" t="s">
        <v>1090</v>
      </c>
    </row>
    <row r="616" spans="1:10" x14ac:dyDescent="0.25">
      <c r="A616" s="3">
        <v>46086</v>
      </c>
      <c r="B616" s="5" t="s">
        <v>1091</v>
      </c>
      <c r="C616" s="5" t="s">
        <v>1091</v>
      </c>
      <c r="D616" s="5" t="s">
        <v>355</v>
      </c>
      <c r="E616" s="4" t="str">
        <f>"0097142291633"</f>
        <v>0097142291633</v>
      </c>
      <c r="F616" s="2" t="s">
        <v>12</v>
      </c>
      <c r="G616" s="2" t="s">
        <v>13</v>
      </c>
      <c r="H616" t="s">
        <v>14</v>
      </c>
      <c r="I616" s="1">
        <v>46086</v>
      </c>
      <c r="J616" t="s">
        <v>1092</v>
      </c>
    </row>
    <row r="617" spans="1:10" x14ac:dyDescent="0.25">
      <c r="A617" s="3">
        <v>46086</v>
      </c>
      <c r="B617" s="5" t="s">
        <v>1093</v>
      </c>
      <c r="C617" s="5" t="s">
        <v>1093</v>
      </c>
      <c r="D617" s="5" t="s">
        <v>355</v>
      </c>
      <c r="E617" s="4" t="str">
        <f>"0097142284580"</f>
        <v>0097142284580</v>
      </c>
      <c r="F617" s="2" t="s">
        <v>12</v>
      </c>
      <c r="G617" s="2" t="s">
        <v>13</v>
      </c>
      <c r="H617" t="s">
        <v>14</v>
      </c>
      <c r="I617" s="1">
        <v>46086</v>
      </c>
      <c r="J617" t="s">
        <v>1094</v>
      </c>
    </row>
    <row r="618" spans="1:10" x14ac:dyDescent="0.25">
      <c r="A618" s="3">
        <v>46086</v>
      </c>
      <c r="B618" s="5" t="s">
        <v>1093</v>
      </c>
      <c r="C618" s="5" t="s">
        <v>1093</v>
      </c>
      <c r="D618" s="5" t="s">
        <v>355</v>
      </c>
      <c r="E618" s="4" t="str">
        <f>"00971504941678"</f>
        <v>00971504941678</v>
      </c>
      <c r="F618" s="2" t="s">
        <v>12</v>
      </c>
      <c r="G618" s="2" t="s">
        <v>13</v>
      </c>
      <c r="H618" t="s">
        <v>14</v>
      </c>
      <c r="I618" s="1">
        <v>46086</v>
      </c>
      <c r="J618" t="s">
        <v>1095</v>
      </c>
    </row>
    <row r="619" spans="1:10" x14ac:dyDescent="0.25">
      <c r="A619" s="3">
        <v>46086</v>
      </c>
      <c r="B619" s="5" t="s">
        <v>1096</v>
      </c>
      <c r="C619" s="5" t="s">
        <v>1096</v>
      </c>
      <c r="D619" s="5" t="s">
        <v>355</v>
      </c>
      <c r="E619" s="4" t="str">
        <f>"0097142560410"</f>
        <v>0097142560410</v>
      </c>
      <c r="F619" s="2" t="s">
        <v>12</v>
      </c>
      <c r="G619" s="2" t="s">
        <v>13</v>
      </c>
      <c r="H619" t="s">
        <v>14</v>
      </c>
      <c r="I619" s="1">
        <v>46086</v>
      </c>
      <c r="J619" t="s">
        <v>1097</v>
      </c>
    </row>
    <row r="620" spans="1:10" x14ac:dyDescent="0.25">
      <c r="A620" s="3">
        <v>46086</v>
      </c>
      <c r="B620" s="5" t="s">
        <v>1096</v>
      </c>
      <c r="C620" s="5" t="s">
        <v>1096</v>
      </c>
      <c r="D620" s="5" t="s">
        <v>355</v>
      </c>
      <c r="E620" s="4" t="str">
        <f>"00971527261880"</f>
        <v>00971527261880</v>
      </c>
      <c r="F620" s="2" t="s">
        <v>12</v>
      </c>
      <c r="G620" s="2" t="s">
        <v>13</v>
      </c>
      <c r="H620" t="s">
        <v>14</v>
      </c>
      <c r="I620" s="1">
        <v>46086</v>
      </c>
      <c r="J620" t="s">
        <v>1098</v>
      </c>
    </row>
    <row r="621" spans="1:10" x14ac:dyDescent="0.25">
      <c r="A621" s="3">
        <v>46086</v>
      </c>
      <c r="B621" s="5" t="s">
        <v>1099</v>
      </c>
      <c r="C621" s="5" t="s">
        <v>1099</v>
      </c>
      <c r="D621" s="5" t="s">
        <v>355</v>
      </c>
      <c r="E621" s="4" t="str">
        <f>"00971523655193"</f>
        <v>00971523655193</v>
      </c>
      <c r="F621" s="2" t="s">
        <v>12</v>
      </c>
      <c r="G621" s="2" t="s">
        <v>13</v>
      </c>
      <c r="H621" t="s">
        <v>14</v>
      </c>
      <c r="I621" s="1">
        <v>46086</v>
      </c>
      <c r="J621" t="s">
        <v>1100</v>
      </c>
    </row>
    <row r="622" spans="1:10" x14ac:dyDescent="0.25">
      <c r="A622" s="3">
        <v>46086</v>
      </c>
      <c r="B622" s="5" t="s">
        <v>1101</v>
      </c>
      <c r="C622" s="5" t="s">
        <v>1101</v>
      </c>
      <c r="D622" s="5" t="s">
        <v>355</v>
      </c>
      <c r="E622" s="4" t="str">
        <f>"00971585134481"</f>
        <v>00971585134481</v>
      </c>
      <c r="F622" s="2" t="s">
        <v>12</v>
      </c>
      <c r="G622" s="2" t="s">
        <v>13</v>
      </c>
      <c r="H622" t="s">
        <v>14</v>
      </c>
      <c r="I622" s="1">
        <v>46086</v>
      </c>
      <c r="J622" t="s">
        <v>1102</v>
      </c>
    </row>
    <row r="623" spans="1:10" x14ac:dyDescent="0.25">
      <c r="A623" s="3">
        <v>46086</v>
      </c>
      <c r="B623" s="5" t="s">
        <v>1103</v>
      </c>
      <c r="C623" s="5" t="s">
        <v>1103</v>
      </c>
      <c r="D623" s="5" t="s">
        <v>355</v>
      </c>
      <c r="E623" s="4" t="str">
        <f>"00971557481813"</f>
        <v>00971557481813</v>
      </c>
      <c r="F623" s="2" t="s">
        <v>12</v>
      </c>
      <c r="G623" s="2" t="s">
        <v>13</v>
      </c>
      <c r="H623" t="s">
        <v>14</v>
      </c>
      <c r="I623" s="1">
        <v>46086</v>
      </c>
      <c r="J623" t="s">
        <v>1104</v>
      </c>
    </row>
    <row r="624" spans="1:10" x14ac:dyDescent="0.25">
      <c r="A624" s="3">
        <v>46086</v>
      </c>
      <c r="B624" s="5" t="s">
        <v>1105</v>
      </c>
      <c r="C624" s="5" t="s">
        <v>1105</v>
      </c>
      <c r="D624" s="5" t="s">
        <v>355</v>
      </c>
      <c r="E624" s="4" t="str">
        <f>"0097142241731"</f>
        <v>0097142241731</v>
      </c>
      <c r="F624" s="2" t="s">
        <v>12</v>
      </c>
      <c r="G624" s="2" t="s">
        <v>13</v>
      </c>
      <c r="H624" t="s">
        <v>14</v>
      </c>
      <c r="I624" s="1">
        <v>46086</v>
      </c>
      <c r="J624" t="s">
        <v>1106</v>
      </c>
    </row>
    <row r="625" spans="1:10" x14ac:dyDescent="0.25">
      <c r="A625" s="3">
        <v>46086</v>
      </c>
      <c r="B625" s="5" t="s">
        <v>1107</v>
      </c>
      <c r="C625" s="5" t="s">
        <v>1107</v>
      </c>
      <c r="D625" s="5" t="s">
        <v>355</v>
      </c>
      <c r="E625" s="4" t="str">
        <f>"00971561756670"</f>
        <v>00971561756670</v>
      </c>
      <c r="F625" s="2" t="s">
        <v>12</v>
      </c>
      <c r="G625" s="2" t="s">
        <v>13</v>
      </c>
      <c r="H625" t="s">
        <v>14</v>
      </c>
      <c r="I625" s="1">
        <v>46086</v>
      </c>
      <c r="J625" t="s">
        <v>1108</v>
      </c>
    </row>
    <row r="626" spans="1:10" x14ac:dyDescent="0.25">
      <c r="A626" s="3">
        <v>46086</v>
      </c>
      <c r="B626" s="5" t="s">
        <v>1109</v>
      </c>
      <c r="C626" s="5" t="s">
        <v>1109</v>
      </c>
      <c r="D626" s="5" t="s">
        <v>355</v>
      </c>
      <c r="E626" s="4" t="str">
        <f>"0097142547887"</f>
        <v>0097142547887</v>
      </c>
      <c r="F626" s="2" t="s">
        <v>12</v>
      </c>
      <c r="G626" s="2" t="s">
        <v>13</v>
      </c>
      <c r="H626" t="s">
        <v>14</v>
      </c>
      <c r="I626" s="1">
        <v>46086</v>
      </c>
      <c r="J626" t="s">
        <v>1110</v>
      </c>
    </row>
    <row r="627" spans="1:10" x14ac:dyDescent="0.25">
      <c r="A627" s="3">
        <v>46086</v>
      </c>
      <c r="B627" s="5" t="s">
        <v>1109</v>
      </c>
      <c r="C627" s="5" t="s">
        <v>1109</v>
      </c>
      <c r="D627" s="5" t="s">
        <v>355</v>
      </c>
      <c r="E627" s="4" t="str">
        <f>"00971552900350"</f>
        <v>00971552900350</v>
      </c>
      <c r="F627" s="2" t="s">
        <v>12</v>
      </c>
      <c r="G627" s="2" t="s">
        <v>13</v>
      </c>
      <c r="H627" t="s">
        <v>14</v>
      </c>
      <c r="I627" s="1">
        <v>46086</v>
      </c>
      <c r="J627" t="s">
        <v>1111</v>
      </c>
    </row>
    <row r="628" spans="1:10" x14ac:dyDescent="0.25">
      <c r="A628" s="3">
        <v>46086</v>
      </c>
      <c r="B628" s="5" t="s">
        <v>1112</v>
      </c>
      <c r="C628" s="5" t="s">
        <v>1112</v>
      </c>
      <c r="D628" s="5" t="s">
        <v>355</v>
      </c>
      <c r="E628" s="4" t="str">
        <f>"00971600577776"</f>
        <v>00971600577776</v>
      </c>
      <c r="F628" s="2" t="s">
        <v>12</v>
      </c>
      <c r="G628" s="2" t="s">
        <v>13</v>
      </c>
      <c r="H628" t="s">
        <v>14</v>
      </c>
      <c r="I628" s="1">
        <v>46086</v>
      </c>
      <c r="J628" t="s">
        <v>1113</v>
      </c>
    </row>
    <row r="629" spans="1:10" x14ac:dyDescent="0.25">
      <c r="A629" s="3">
        <v>46086</v>
      </c>
      <c r="B629" s="5" t="s">
        <v>1114</v>
      </c>
      <c r="C629" s="5" t="s">
        <v>1114</v>
      </c>
      <c r="D629" s="5" t="s">
        <v>355</v>
      </c>
      <c r="E629" s="4" t="str">
        <f>"0097142365542"</f>
        <v>0097142365542</v>
      </c>
      <c r="F629" s="2" t="s">
        <v>12</v>
      </c>
      <c r="G629" s="2" t="s">
        <v>13</v>
      </c>
      <c r="H629" t="s">
        <v>14</v>
      </c>
      <c r="I629" s="1">
        <v>46086</v>
      </c>
      <c r="J629" t="s">
        <v>1115</v>
      </c>
    </row>
    <row r="630" spans="1:10" x14ac:dyDescent="0.25">
      <c r="A630" s="3">
        <v>46086</v>
      </c>
      <c r="B630" s="5" t="s">
        <v>1116</v>
      </c>
      <c r="C630" s="5" t="s">
        <v>1116</v>
      </c>
      <c r="D630" s="5" t="s">
        <v>355</v>
      </c>
      <c r="E630" s="4" t="str">
        <f>"0097142290108"</f>
        <v>0097142290108</v>
      </c>
      <c r="F630" s="2" t="s">
        <v>12</v>
      </c>
      <c r="G630" s="2" t="s">
        <v>13</v>
      </c>
      <c r="H630" t="s">
        <v>14</v>
      </c>
      <c r="I630" s="1">
        <v>46086</v>
      </c>
      <c r="J630" t="s">
        <v>1117</v>
      </c>
    </row>
    <row r="631" spans="1:10" x14ac:dyDescent="0.25">
      <c r="A631" s="3">
        <v>46086</v>
      </c>
      <c r="B631" s="5" t="s">
        <v>1118</v>
      </c>
      <c r="C631" s="5" t="s">
        <v>1118</v>
      </c>
      <c r="D631" s="5" t="s">
        <v>355</v>
      </c>
      <c r="E631" s="4" t="str">
        <f>"00971554940671"</f>
        <v>00971554940671</v>
      </c>
      <c r="F631" s="2" t="s">
        <v>12</v>
      </c>
      <c r="G631" s="2" t="s">
        <v>13</v>
      </c>
      <c r="H631" t="s">
        <v>14</v>
      </c>
      <c r="I631" s="1">
        <v>46086</v>
      </c>
      <c r="J631" t="s">
        <v>1119</v>
      </c>
    </row>
    <row r="632" spans="1:10" x14ac:dyDescent="0.25">
      <c r="A632" s="3">
        <v>46086</v>
      </c>
      <c r="B632" s="5" t="s">
        <v>1120</v>
      </c>
      <c r="C632" s="5" t="s">
        <v>1120</v>
      </c>
      <c r="D632" s="5" t="s">
        <v>355</v>
      </c>
      <c r="E632" s="4" t="str">
        <f>"0097142577175"</f>
        <v>0097142577175</v>
      </c>
      <c r="F632" s="2" t="s">
        <v>12</v>
      </c>
      <c r="G632" s="2" t="s">
        <v>13</v>
      </c>
      <c r="H632" t="s">
        <v>14</v>
      </c>
      <c r="I632" s="1">
        <v>46086</v>
      </c>
      <c r="J632" t="s">
        <v>1121</v>
      </c>
    </row>
    <row r="633" spans="1:10" x14ac:dyDescent="0.25">
      <c r="A633" s="3">
        <v>46086</v>
      </c>
      <c r="B633" s="5" t="s">
        <v>1122</v>
      </c>
      <c r="C633" s="5" t="s">
        <v>1122</v>
      </c>
      <c r="D633" s="5" t="s">
        <v>355</v>
      </c>
      <c r="E633" s="4" t="str">
        <f>"0097143400722"</f>
        <v>0097143400722</v>
      </c>
      <c r="F633" s="2" t="s">
        <v>12</v>
      </c>
      <c r="G633" s="2" t="s">
        <v>13</v>
      </c>
      <c r="H633" t="s">
        <v>14</v>
      </c>
      <c r="I633" s="1">
        <v>46086</v>
      </c>
      <c r="J633" t="s">
        <v>1123</v>
      </c>
    </row>
    <row r="634" spans="1:10" x14ac:dyDescent="0.25">
      <c r="A634" s="3">
        <v>46086</v>
      </c>
      <c r="B634" s="5" t="s">
        <v>1124</v>
      </c>
      <c r="C634" s="5" t="s">
        <v>1124</v>
      </c>
      <c r="D634" s="5" t="s">
        <v>355</v>
      </c>
      <c r="E634" s="4" t="str">
        <f>"0097142306029"</f>
        <v>0097142306029</v>
      </c>
      <c r="F634" s="2" t="s">
        <v>12</v>
      </c>
      <c r="G634" s="2" t="s">
        <v>13</v>
      </c>
      <c r="H634" t="s">
        <v>14</v>
      </c>
      <c r="I634" s="1">
        <v>46086</v>
      </c>
      <c r="J634" t="s">
        <v>1125</v>
      </c>
    </row>
    <row r="635" spans="1:10" x14ac:dyDescent="0.25">
      <c r="A635" s="3">
        <v>46086</v>
      </c>
      <c r="B635" s="5" t="s">
        <v>1124</v>
      </c>
      <c r="C635" s="5" t="s">
        <v>1124</v>
      </c>
      <c r="D635" s="5" t="s">
        <v>355</v>
      </c>
      <c r="E635" s="4" t="str">
        <f>"00971568003575"</f>
        <v>00971568003575</v>
      </c>
      <c r="F635" s="2" t="s">
        <v>12</v>
      </c>
      <c r="G635" s="2" t="s">
        <v>13</v>
      </c>
      <c r="H635" t="s">
        <v>14</v>
      </c>
      <c r="I635" s="1">
        <v>46086</v>
      </c>
      <c r="J635" t="s">
        <v>1126</v>
      </c>
    </row>
    <row r="636" spans="1:10" x14ac:dyDescent="0.25">
      <c r="A636" s="3">
        <v>46086</v>
      </c>
      <c r="B636" s="5" t="s">
        <v>1127</v>
      </c>
      <c r="C636" s="5" t="s">
        <v>1127</v>
      </c>
      <c r="D636" s="5" t="s">
        <v>355</v>
      </c>
      <c r="E636" s="4" t="str">
        <f>"0097143373875"</f>
        <v>0097143373875</v>
      </c>
      <c r="F636" s="2" t="s">
        <v>12</v>
      </c>
      <c r="G636" s="2" t="s">
        <v>13</v>
      </c>
      <c r="H636" t="s">
        <v>14</v>
      </c>
      <c r="I636" s="1">
        <v>46086</v>
      </c>
      <c r="J636" t="s">
        <v>1128</v>
      </c>
    </row>
    <row r="637" spans="1:10" x14ac:dyDescent="0.25">
      <c r="A637" s="3">
        <v>46086</v>
      </c>
      <c r="B637" s="5" t="s">
        <v>1129</v>
      </c>
      <c r="C637" s="5" t="s">
        <v>1129</v>
      </c>
      <c r="D637" s="5" t="s">
        <v>355</v>
      </c>
      <c r="E637" s="4" t="str">
        <f>"0097142583380"</f>
        <v>0097142583380</v>
      </c>
      <c r="F637" s="2" t="s">
        <v>12</v>
      </c>
      <c r="G637" s="2" t="s">
        <v>13</v>
      </c>
      <c r="H637" t="s">
        <v>14</v>
      </c>
      <c r="I637" s="1">
        <v>46086</v>
      </c>
      <c r="J637" t="s">
        <v>1130</v>
      </c>
    </row>
    <row r="638" spans="1:10" x14ac:dyDescent="0.25">
      <c r="A638" s="3">
        <v>46086</v>
      </c>
      <c r="B638" s="5" t="s">
        <v>1131</v>
      </c>
      <c r="C638" s="5" t="s">
        <v>1131</v>
      </c>
      <c r="D638" s="5" t="s">
        <v>355</v>
      </c>
      <c r="E638" s="4" t="str">
        <f>"0097143476693"</f>
        <v>0097143476693</v>
      </c>
      <c r="F638" s="2" t="s">
        <v>12</v>
      </c>
      <c r="G638" s="2" t="s">
        <v>13</v>
      </c>
      <c r="H638" t="s">
        <v>14</v>
      </c>
      <c r="I638" s="1">
        <v>46086</v>
      </c>
      <c r="J638" t="s">
        <v>1132</v>
      </c>
    </row>
    <row r="639" spans="1:10" x14ac:dyDescent="0.25">
      <c r="A639" s="3">
        <v>46086</v>
      </c>
      <c r="B639" s="5" t="s">
        <v>1133</v>
      </c>
      <c r="C639" s="5" t="s">
        <v>1133</v>
      </c>
      <c r="D639" s="5" t="s">
        <v>355</v>
      </c>
      <c r="E639" s="4" t="str">
        <f>"0097142447219"</f>
        <v>0097142447219</v>
      </c>
      <c r="F639" s="2" t="s">
        <v>12</v>
      </c>
      <c r="G639" s="2" t="s">
        <v>13</v>
      </c>
      <c r="H639" t="s">
        <v>14</v>
      </c>
      <c r="I639" s="1">
        <v>46086</v>
      </c>
      <c r="J639" t="s">
        <v>1134</v>
      </c>
    </row>
    <row r="640" spans="1:10" x14ac:dyDescent="0.25">
      <c r="A640" s="3">
        <v>46086</v>
      </c>
      <c r="B640" s="5" t="s">
        <v>1135</v>
      </c>
      <c r="C640" s="5" t="s">
        <v>1135</v>
      </c>
      <c r="D640" s="5" t="s">
        <v>355</v>
      </c>
      <c r="E640" s="4" t="str">
        <f>"0097142805522"</f>
        <v>0097142805522</v>
      </c>
      <c r="F640" s="2" t="s">
        <v>12</v>
      </c>
      <c r="G640" s="2" t="s">
        <v>13</v>
      </c>
      <c r="H640" t="s">
        <v>14</v>
      </c>
      <c r="I640" s="1">
        <v>46086</v>
      </c>
      <c r="J640" t="s">
        <v>1136</v>
      </c>
    </row>
    <row r="641" spans="1:10" x14ac:dyDescent="0.25">
      <c r="A641" s="3">
        <v>46086</v>
      </c>
      <c r="B641" s="5" t="s">
        <v>1137</v>
      </c>
      <c r="C641" s="5" t="s">
        <v>1137</v>
      </c>
      <c r="D641" s="5" t="s">
        <v>355</v>
      </c>
      <c r="E641" s="4" t="str">
        <f>"0097142278844"</f>
        <v>0097142278844</v>
      </c>
      <c r="F641" s="2" t="s">
        <v>12</v>
      </c>
      <c r="G641" s="2" t="s">
        <v>13</v>
      </c>
      <c r="H641" t="s">
        <v>14</v>
      </c>
      <c r="I641" s="1">
        <v>46086</v>
      </c>
      <c r="J641" t="s">
        <v>1138</v>
      </c>
    </row>
    <row r="642" spans="1:10" x14ac:dyDescent="0.25">
      <c r="A642" s="3">
        <v>46086</v>
      </c>
      <c r="B642" s="5" t="s">
        <v>1137</v>
      </c>
      <c r="C642" s="5" t="s">
        <v>1137</v>
      </c>
      <c r="D642" s="5" t="s">
        <v>355</v>
      </c>
      <c r="E642" s="4" t="str">
        <f>"00971552868849"</f>
        <v>00971552868849</v>
      </c>
      <c r="F642" s="2" t="s">
        <v>12</v>
      </c>
      <c r="G642" s="2" t="s">
        <v>13</v>
      </c>
      <c r="H642" t="s">
        <v>14</v>
      </c>
      <c r="I642" s="1">
        <v>46086</v>
      </c>
      <c r="J642" t="s">
        <v>1139</v>
      </c>
    </row>
    <row r="643" spans="1:10" x14ac:dyDescent="0.25">
      <c r="A643" s="3">
        <v>46086</v>
      </c>
      <c r="B643" s="5" t="s">
        <v>1140</v>
      </c>
      <c r="C643" s="5" t="s">
        <v>1140</v>
      </c>
      <c r="D643" s="5" t="s">
        <v>355</v>
      </c>
      <c r="E643" s="4" t="str">
        <f>"0097142990445"</f>
        <v>0097142990445</v>
      </c>
      <c r="F643" s="2" t="s">
        <v>12</v>
      </c>
      <c r="G643" s="2" t="s">
        <v>13</v>
      </c>
      <c r="H643" t="s">
        <v>14</v>
      </c>
      <c r="I643" s="1">
        <v>46086</v>
      </c>
      <c r="J643" t="s">
        <v>1141</v>
      </c>
    </row>
    <row r="644" spans="1:10" x14ac:dyDescent="0.25">
      <c r="A644" s="3">
        <v>46086</v>
      </c>
      <c r="B644" s="5" t="s">
        <v>1142</v>
      </c>
      <c r="C644" s="5" t="s">
        <v>1142</v>
      </c>
      <c r="D644" s="5" t="s">
        <v>355</v>
      </c>
      <c r="E644" s="4" t="str">
        <f>"0097142999440"</f>
        <v>0097142999440</v>
      </c>
      <c r="F644" s="2" t="s">
        <v>12</v>
      </c>
      <c r="G644" s="2" t="s">
        <v>13</v>
      </c>
      <c r="H644" t="s">
        <v>14</v>
      </c>
      <c r="I644" s="1">
        <v>46086</v>
      </c>
      <c r="J644" t="s">
        <v>1143</v>
      </c>
    </row>
    <row r="645" spans="1:10" x14ac:dyDescent="0.25">
      <c r="A645" s="3">
        <v>46086</v>
      </c>
      <c r="B645" s="5" t="s">
        <v>1144</v>
      </c>
      <c r="C645" s="5" t="s">
        <v>1144</v>
      </c>
      <c r="D645" s="5" t="s">
        <v>355</v>
      </c>
      <c r="E645" s="4" t="str">
        <f>"00971566719699"</f>
        <v>00971566719699</v>
      </c>
      <c r="F645" s="2" t="s">
        <v>12</v>
      </c>
      <c r="G645" s="2" t="s">
        <v>13</v>
      </c>
      <c r="H645" t="s">
        <v>14</v>
      </c>
      <c r="I645" s="1">
        <v>46086</v>
      </c>
      <c r="J645" t="s">
        <v>1145</v>
      </c>
    </row>
    <row r="646" spans="1:10" x14ac:dyDescent="0.25">
      <c r="A646" s="3">
        <v>46086</v>
      </c>
      <c r="B646" s="5" t="s">
        <v>1146</v>
      </c>
      <c r="C646" s="5" t="s">
        <v>1146</v>
      </c>
      <c r="D646" s="5" t="s">
        <v>355</v>
      </c>
      <c r="E646" s="4" t="str">
        <f>"0097142621666"</f>
        <v>0097142621666</v>
      </c>
      <c r="F646" s="2" t="s">
        <v>12</v>
      </c>
      <c r="G646" s="2" t="s">
        <v>13</v>
      </c>
      <c r="H646" t="s">
        <v>14</v>
      </c>
      <c r="I646" s="1">
        <v>46086</v>
      </c>
      <c r="J646" t="s">
        <v>1147</v>
      </c>
    </row>
    <row r="647" spans="1:10" x14ac:dyDescent="0.25">
      <c r="A647" s="3">
        <v>46086</v>
      </c>
      <c r="B647" s="5" t="s">
        <v>1146</v>
      </c>
      <c r="C647" s="5" t="s">
        <v>1146</v>
      </c>
      <c r="D647" s="5" t="s">
        <v>355</v>
      </c>
      <c r="E647" s="4" t="str">
        <f>"00971545819255"</f>
        <v>00971545819255</v>
      </c>
      <c r="F647" s="2" t="s">
        <v>12</v>
      </c>
      <c r="G647" s="2" t="s">
        <v>13</v>
      </c>
      <c r="H647" t="s">
        <v>14</v>
      </c>
      <c r="I647" s="1">
        <v>46086</v>
      </c>
      <c r="J647" t="s">
        <v>1148</v>
      </c>
    </row>
    <row r="648" spans="1:10" x14ac:dyDescent="0.25">
      <c r="A648" s="3">
        <v>46086</v>
      </c>
      <c r="B648" s="5" t="s">
        <v>1149</v>
      </c>
      <c r="C648" s="5" t="s">
        <v>1149</v>
      </c>
      <c r="D648" s="5" t="s">
        <v>355</v>
      </c>
      <c r="E648" s="4" t="str">
        <f>"0097143688932"</f>
        <v>0097143688932</v>
      </c>
      <c r="F648" s="2" t="s">
        <v>12</v>
      </c>
      <c r="G648" s="2" t="s">
        <v>13</v>
      </c>
      <c r="H648" t="s">
        <v>14</v>
      </c>
      <c r="I648" s="1">
        <v>46086</v>
      </c>
      <c r="J648" t="s">
        <v>1150</v>
      </c>
    </row>
    <row r="649" spans="1:10" x14ac:dyDescent="0.25">
      <c r="A649" s="3">
        <v>46086</v>
      </c>
      <c r="B649" s="5" t="s">
        <v>1151</v>
      </c>
      <c r="C649" s="5" t="s">
        <v>1151</v>
      </c>
      <c r="D649" s="5" t="s">
        <v>355</v>
      </c>
      <c r="E649" s="4" t="str">
        <f>"0097142989992"</f>
        <v>0097142989992</v>
      </c>
      <c r="F649" s="2" t="s">
        <v>12</v>
      </c>
      <c r="G649" s="2" t="s">
        <v>13</v>
      </c>
      <c r="H649" t="s">
        <v>14</v>
      </c>
      <c r="I649" s="1">
        <v>46086</v>
      </c>
      <c r="J649" t="s">
        <v>1152</v>
      </c>
    </row>
    <row r="650" spans="1:10" x14ac:dyDescent="0.25">
      <c r="A650" s="3">
        <v>46086</v>
      </c>
      <c r="B650" s="5" t="s">
        <v>1153</v>
      </c>
      <c r="C650" s="5" t="s">
        <v>1153</v>
      </c>
      <c r="D650" s="5" t="s">
        <v>355</v>
      </c>
      <c r="E650" s="4" t="str">
        <f>"0097142438257"</f>
        <v>0097142438257</v>
      </c>
      <c r="F650" s="2" t="s">
        <v>12</v>
      </c>
      <c r="G650" s="2" t="s">
        <v>13</v>
      </c>
      <c r="H650" t="s">
        <v>14</v>
      </c>
      <c r="I650" s="1">
        <v>46086</v>
      </c>
      <c r="J650" t="s">
        <v>1154</v>
      </c>
    </row>
    <row r="651" spans="1:10" x14ac:dyDescent="0.25">
      <c r="A651" s="3">
        <v>46086</v>
      </c>
      <c r="B651" s="5" t="s">
        <v>1155</v>
      </c>
      <c r="C651" s="5" t="s">
        <v>1155</v>
      </c>
      <c r="D651" s="5" t="s">
        <v>355</v>
      </c>
      <c r="E651" s="4" t="str">
        <f>"0097142515111"</f>
        <v>0097142515111</v>
      </c>
      <c r="F651" s="2" t="s">
        <v>12</v>
      </c>
      <c r="G651" s="2" t="s">
        <v>13</v>
      </c>
      <c r="H651" t="s">
        <v>14</v>
      </c>
      <c r="I651" s="1">
        <v>46086</v>
      </c>
      <c r="J651" t="s">
        <v>1156</v>
      </c>
    </row>
    <row r="652" spans="1:10" x14ac:dyDescent="0.25">
      <c r="A652" s="3">
        <v>46086</v>
      </c>
      <c r="B652" s="5" t="s">
        <v>1157</v>
      </c>
      <c r="C652" s="5" t="s">
        <v>1157</v>
      </c>
      <c r="D652" s="5" t="s">
        <v>355</v>
      </c>
      <c r="E652" s="4" t="str">
        <f>"00971525267586"</f>
        <v>00971525267586</v>
      </c>
      <c r="F652" s="2" t="s">
        <v>12</v>
      </c>
      <c r="G652" s="2" t="s">
        <v>13</v>
      </c>
      <c r="H652" t="s">
        <v>14</v>
      </c>
      <c r="I652" s="1">
        <v>46086</v>
      </c>
      <c r="J652" t="s">
        <v>1158</v>
      </c>
    </row>
    <row r="653" spans="1:10" x14ac:dyDescent="0.25">
      <c r="A653" s="3">
        <v>46086</v>
      </c>
      <c r="B653" s="5" t="s">
        <v>1159</v>
      </c>
      <c r="C653" s="5" t="s">
        <v>1159</v>
      </c>
      <c r="D653" s="5" t="s">
        <v>355</v>
      </c>
      <c r="E653" s="4" t="str">
        <f>"0097142964111"</f>
        <v>0097142964111</v>
      </c>
      <c r="F653" s="2" t="s">
        <v>12</v>
      </c>
      <c r="G653" s="2" t="s">
        <v>13</v>
      </c>
      <c r="H653" t="s">
        <v>14</v>
      </c>
      <c r="I653" s="1">
        <v>46086</v>
      </c>
      <c r="J653" t="s">
        <v>1160</v>
      </c>
    </row>
    <row r="654" spans="1:10" x14ac:dyDescent="0.25">
      <c r="A654" s="3">
        <v>46086</v>
      </c>
      <c r="B654" s="5" t="s">
        <v>1161</v>
      </c>
      <c r="C654" s="5" t="s">
        <v>1161</v>
      </c>
      <c r="D654" s="5" t="s">
        <v>355</v>
      </c>
      <c r="E654" s="4" t="str">
        <f>"0097142677854"</f>
        <v>0097142677854</v>
      </c>
      <c r="F654" s="2" t="s">
        <v>12</v>
      </c>
      <c r="G654" s="2" t="s">
        <v>13</v>
      </c>
      <c r="H654" t="s">
        <v>14</v>
      </c>
      <c r="I654" s="1">
        <v>46086</v>
      </c>
      <c r="J654" t="s">
        <v>1162</v>
      </c>
    </row>
    <row r="655" spans="1:10" x14ac:dyDescent="0.25">
      <c r="A655" s="3">
        <v>46086</v>
      </c>
      <c r="B655" s="5" t="s">
        <v>1163</v>
      </c>
      <c r="C655" s="5" t="s">
        <v>1163</v>
      </c>
      <c r="D655" s="5" t="s">
        <v>355</v>
      </c>
      <c r="E655" s="4" t="str">
        <f>"0097142677834"</f>
        <v>0097142677834</v>
      </c>
      <c r="F655" s="2" t="s">
        <v>12</v>
      </c>
      <c r="G655" s="2" t="s">
        <v>13</v>
      </c>
      <c r="H655" t="s">
        <v>14</v>
      </c>
      <c r="I655" s="1">
        <v>46086</v>
      </c>
      <c r="J655" t="s">
        <v>1164</v>
      </c>
    </row>
    <row r="656" spans="1:10" x14ac:dyDescent="0.25">
      <c r="A656" s="3">
        <v>46086</v>
      </c>
      <c r="B656" s="5" t="s">
        <v>1163</v>
      </c>
      <c r="C656" s="5" t="s">
        <v>1163</v>
      </c>
      <c r="D656" s="5" t="s">
        <v>355</v>
      </c>
      <c r="E656" s="4" t="str">
        <f>"00971507864065"</f>
        <v>00971507864065</v>
      </c>
      <c r="F656" s="2" t="s">
        <v>12</v>
      </c>
      <c r="G656" s="2" t="s">
        <v>13</v>
      </c>
      <c r="H656" t="s">
        <v>14</v>
      </c>
      <c r="I656" s="1">
        <v>46086</v>
      </c>
      <c r="J656" t="s">
        <v>1165</v>
      </c>
    </row>
    <row r="657" spans="1:10" x14ac:dyDescent="0.25">
      <c r="A657" s="3">
        <v>46086</v>
      </c>
      <c r="B657" s="5" t="s">
        <v>1166</v>
      </c>
      <c r="C657" s="5" t="s">
        <v>1166</v>
      </c>
      <c r="D657" s="5" t="s">
        <v>355</v>
      </c>
      <c r="E657" s="4" t="str">
        <f>"0097142583787"</f>
        <v>0097142583787</v>
      </c>
      <c r="F657" s="2" t="s">
        <v>12</v>
      </c>
      <c r="G657" s="2" t="s">
        <v>13</v>
      </c>
      <c r="H657" t="s">
        <v>14</v>
      </c>
      <c r="I657" s="1">
        <v>46086</v>
      </c>
      <c r="J657" t="s">
        <v>1167</v>
      </c>
    </row>
    <row r="658" spans="1:10" x14ac:dyDescent="0.25">
      <c r="A658" s="3">
        <v>46086</v>
      </c>
      <c r="B658" s="5" t="s">
        <v>1166</v>
      </c>
      <c r="C658" s="5" t="s">
        <v>1166</v>
      </c>
      <c r="D658" s="5" t="s">
        <v>355</v>
      </c>
      <c r="E658" s="4" t="str">
        <f>"00971557867806"</f>
        <v>00971557867806</v>
      </c>
      <c r="F658" s="2" t="s">
        <v>12</v>
      </c>
      <c r="G658" s="2" t="s">
        <v>13</v>
      </c>
      <c r="H658" t="s">
        <v>14</v>
      </c>
      <c r="I658" s="1">
        <v>46086</v>
      </c>
      <c r="J658" t="s">
        <v>1168</v>
      </c>
    </row>
    <row r="659" spans="1:10" x14ac:dyDescent="0.25">
      <c r="A659" s="3">
        <v>46086</v>
      </c>
      <c r="B659" s="5" t="s">
        <v>1169</v>
      </c>
      <c r="C659" s="5" t="s">
        <v>1169</v>
      </c>
      <c r="D659" s="5" t="s">
        <v>355</v>
      </c>
      <c r="E659" s="4" t="str">
        <f>"0097142583786"</f>
        <v>0097142583786</v>
      </c>
      <c r="F659" s="2" t="s">
        <v>12</v>
      </c>
      <c r="G659" s="2" t="s">
        <v>13</v>
      </c>
      <c r="H659" t="s">
        <v>14</v>
      </c>
      <c r="I659" s="1">
        <v>46086</v>
      </c>
      <c r="J659" t="s">
        <v>1170</v>
      </c>
    </row>
    <row r="660" spans="1:10" x14ac:dyDescent="0.25">
      <c r="A660" s="3">
        <v>46086</v>
      </c>
      <c r="B660" s="5" t="s">
        <v>1171</v>
      </c>
      <c r="C660" s="5" t="s">
        <v>1171</v>
      </c>
      <c r="D660" s="5" t="s">
        <v>355</v>
      </c>
      <c r="E660" s="4" t="str">
        <f>"0097143147500"</f>
        <v>0097143147500</v>
      </c>
      <c r="F660" s="2" t="s">
        <v>12</v>
      </c>
      <c r="G660" s="2" t="s">
        <v>13</v>
      </c>
      <c r="H660" t="s">
        <v>14</v>
      </c>
      <c r="I660" s="1">
        <v>46086</v>
      </c>
      <c r="J660" t="s">
        <v>1172</v>
      </c>
    </row>
    <row r="661" spans="1:10" x14ac:dyDescent="0.25">
      <c r="A661" s="3">
        <v>46086</v>
      </c>
      <c r="B661" s="5" t="s">
        <v>1171</v>
      </c>
      <c r="C661" s="5" t="s">
        <v>1171</v>
      </c>
      <c r="D661" s="5" t="s">
        <v>355</v>
      </c>
      <c r="E661" s="4" t="str">
        <f>"00971506475047"</f>
        <v>00971506475047</v>
      </c>
      <c r="F661" s="2" t="s">
        <v>12</v>
      </c>
      <c r="G661" s="2" t="s">
        <v>13</v>
      </c>
      <c r="H661" t="s">
        <v>14</v>
      </c>
      <c r="I661" s="1">
        <v>46086</v>
      </c>
      <c r="J661" t="s">
        <v>1173</v>
      </c>
    </row>
    <row r="662" spans="1:10" x14ac:dyDescent="0.25">
      <c r="A662" s="3">
        <v>46086</v>
      </c>
      <c r="B662" s="5" t="s">
        <v>152</v>
      </c>
      <c r="C662" s="5" t="s">
        <v>152</v>
      </c>
      <c r="D662" s="5" t="s">
        <v>355</v>
      </c>
      <c r="E662" s="4" t="str">
        <f>"0097143554222"</f>
        <v>0097143554222</v>
      </c>
      <c r="F662" s="2" t="s">
        <v>12</v>
      </c>
      <c r="G662" s="2" t="s">
        <v>13</v>
      </c>
      <c r="H662" t="s">
        <v>14</v>
      </c>
      <c r="I662" s="1">
        <v>46086</v>
      </c>
      <c r="J662" t="s">
        <v>1174</v>
      </c>
    </row>
    <row r="663" spans="1:10" x14ac:dyDescent="0.25">
      <c r="A663" s="3">
        <v>46086</v>
      </c>
      <c r="B663" s="5" t="s">
        <v>1175</v>
      </c>
      <c r="C663" s="5" t="s">
        <v>1175</v>
      </c>
      <c r="D663" s="5" t="s">
        <v>355</v>
      </c>
      <c r="E663" s="4" t="str">
        <f>"0097142977300"</f>
        <v>0097142977300</v>
      </c>
      <c r="F663" s="2" t="s">
        <v>12</v>
      </c>
      <c r="G663" s="2" t="s">
        <v>13</v>
      </c>
      <c r="H663" t="s">
        <v>14</v>
      </c>
      <c r="I663" s="1">
        <v>46086</v>
      </c>
      <c r="J663" t="s">
        <v>1176</v>
      </c>
    </row>
    <row r="664" spans="1:10" x14ac:dyDescent="0.25">
      <c r="A664" s="3">
        <v>46086</v>
      </c>
      <c r="B664" s="5" t="s">
        <v>1177</v>
      </c>
      <c r="C664" s="5" t="s">
        <v>1177</v>
      </c>
      <c r="D664" s="5" t="s">
        <v>355</v>
      </c>
      <c r="E664" s="4" t="str">
        <f>"0097143805683"</f>
        <v>0097143805683</v>
      </c>
      <c r="F664" s="2" t="s">
        <v>12</v>
      </c>
      <c r="G664" s="2" t="s">
        <v>13</v>
      </c>
      <c r="H664" t="s">
        <v>14</v>
      </c>
      <c r="I664" s="1">
        <v>46086</v>
      </c>
      <c r="J664" t="s">
        <v>1178</v>
      </c>
    </row>
    <row r="665" spans="1:10" x14ac:dyDescent="0.25">
      <c r="A665" s="3">
        <v>46086</v>
      </c>
      <c r="B665" s="5" t="s">
        <v>1177</v>
      </c>
      <c r="C665" s="5" t="s">
        <v>1177</v>
      </c>
      <c r="D665" s="5" t="s">
        <v>355</v>
      </c>
      <c r="E665" s="4" t="str">
        <f>"00971551313403"</f>
        <v>00971551313403</v>
      </c>
      <c r="F665" s="2" t="s">
        <v>12</v>
      </c>
      <c r="G665" s="2" t="s">
        <v>13</v>
      </c>
      <c r="H665" t="s">
        <v>14</v>
      </c>
      <c r="I665" s="1">
        <v>46086</v>
      </c>
      <c r="J665" t="s">
        <v>1179</v>
      </c>
    </row>
    <row r="666" spans="1:10" x14ac:dyDescent="0.25">
      <c r="A666" s="3">
        <v>46086</v>
      </c>
      <c r="B666" s="5" t="s">
        <v>1180</v>
      </c>
      <c r="C666" s="5" t="s">
        <v>1180</v>
      </c>
      <c r="D666" s="5" t="s">
        <v>355</v>
      </c>
      <c r="E666" s="4" t="str">
        <f>"0097142685333"</f>
        <v>0097142685333</v>
      </c>
      <c r="F666" s="2" t="s">
        <v>12</v>
      </c>
      <c r="G666" s="2" t="s">
        <v>13</v>
      </c>
      <c r="H666" t="s">
        <v>14</v>
      </c>
      <c r="I666" s="1">
        <v>46086</v>
      </c>
      <c r="J666" t="s">
        <v>1181</v>
      </c>
    </row>
    <row r="667" spans="1:10" x14ac:dyDescent="0.25">
      <c r="A667" s="3">
        <v>46086</v>
      </c>
      <c r="B667" s="5" t="s">
        <v>1182</v>
      </c>
      <c r="C667" s="5" t="s">
        <v>1182</v>
      </c>
      <c r="D667" s="5" t="s">
        <v>355</v>
      </c>
      <c r="E667" s="4" t="str">
        <f>"0097143338222"</f>
        <v>0097143338222</v>
      </c>
      <c r="F667" s="2" t="s">
        <v>12</v>
      </c>
      <c r="G667" s="2" t="s">
        <v>13</v>
      </c>
      <c r="H667" t="s">
        <v>14</v>
      </c>
      <c r="I667" s="1">
        <v>46086</v>
      </c>
      <c r="J667" t="s">
        <v>1183</v>
      </c>
    </row>
    <row r="668" spans="1:10" x14ac:dyDescent="0.25">
      <c r="A668" s="3">
        <v>46086</v>
      </c>
      <c r="B668" s="5" t="s">
        <v>1184</v>
      </c>
      <c r="C668" s="5" t="s">
        <v>1184</v>
      </c>
      <c r="D668" s="5" t="s">
        <v>355</v>
      </c>
      <c r="E668" s="4" t="str">
        <f>"0097143433313"</f>
        <v>0097143433313</v>
      </c>
      <c r="F668" s="2" t="s">
        <v>12</v>
      </c>
      <c r="G668" s="2" t="s">
        <v>13</v>
      </c>
      <c r="H668" t="s">
        <v>14</v>
      </c>
      <c r="I668" s="1">
        <v>46086</v>
      </c>
      <c r="J668" t="s">
        <v>1185</v>
      </c>
    </row>
    <row r="669" spans="1:10" x14ac:dyDescent="0.25">
      <c r="A669" s="3">
        <v>46086</v>
      </c>
      <c r="B669" s="5" t="s">
        <v>1186</v>
      </c>
      <c r="C669" s="5" t="s">
        <v>1186</v>
      </c>
      <c r="D669" s="5" t="s">
        <v>355</v>
      </c>
      <c r="E669" s="4" t="str">
        <f>"0097142260435"</f>
        <v>0097142260435</v>
      </c>
      <c r="F669" s="2" t="s">
        <v>12</v>
      </c>
      <c r="G669" s="2" t="s">
        <v>13</v>
      </c>
      <c r="H669" t="s">
        <v>14</v>
      </c>
      <c r="I669" s="1">
        <v>46086</v>
      </c>
      <c r="J669" t="s">
        <v>1187</v>
      </c>
    </row>
    <row r="670" spans="1:10" x14ac:dyDescent="0.25">
      <c r="A670" s="3">
        <v>46086</v>
      </c>
      <c r="B670" s="5" t="s">
        <v>1188</v>
      </c>
      <c r="C670" s="5" t="s">
        <v>1188</v>
      </c>
      <c r="D670" s="5" t="s">
        <v>355</v>
      </c>
      <c r="E670" s="4" t="str">
        <f>"0097142237397"</f>
        <v>0097142237397</v>
      </c>
      <c r="F670" s="2" t="s">
        <v>12</v>
      </c>
      <c r="G670" s="2" t="s">
        <v>13</v>
      </c>
      <c r="H670" t="s">
        <v>14</v>
      </c>
      <c r="I670" s="1">
        <v>46086</v>
      </c>
      <c r="J670" t="s">
        <v>1189</v>
      </c>
    </row>
    <row r="671" spans="1:10" x14ac:dyDescent="0.25">
      <c r="A671" s="3">
        <v>46086</v>
      </c>
      <c r="B671" s="5" t="s">
        <v>1190</v>
      </c>
      <c r="C671" s="5" t="s">
        <v>1190</v>
      </c>
      <c r="D671" s="5" t="s">
        <v>355</v>
      </c>
      <c r="E671" s="4" t="str">
        <f>"0097142677575"</f>
        <v>0097142677575</v>
      </c>
      <c r="F671" s="2" t="s">
        <v>12</v>
      </c>
      <c r="G671" s="2" t="s">
        <v>13</v>
      </c>
      <c r="H671" t="s">
        <v>14</v>
      </c>
      <c r="I671" s="1">
        <v>46086</v>
      </c>
      <c r="J671" t="s">
        <v>1191</v>
      </c>
    </row>
    <row r="672" spans="1:10" x14ac:dyDescent="0.25">
      <c r="A672" s="3">
        <v>46086</v>
      </c>
      <c r="B672" s="5" t="s">
        <v>1192</v>
      </c>
      <c r="C672" s="5" t="s">
        <v>1192</v>
      </c>
      <c r="D672" s="5" t="s">
        <v>355</v>
      </c>
      <c r="E672" s="4" t="str">
        <f>"0097143520082"</f>
        <v>0097143520082</v>
      </c>
      <c r="F672" s="2" t="s">
        <v>12</v>
      </c>
      <c r="G672" s="2" t="s">
        <v>13</v>
      </c>
      <c r="H672" t="s">
        <v>14</v>
      </c>
      <c r="I672" s="1">
        <v>46086</v>
      </c>
      <c r="J672" t="s">
        <v>1193</v>
      </c>
    </row>
    <row r="673" spans="1:10" x14ac:dyDescent="0.25">
      <c r="A673" s="3">
        <v>46086</v>
      </c>
      <c r="B673" s="5" t="s">
        <v>1192</v>
      </c>
      <c r="C673" s="5" t="s">
        <v>1192</v>
      </c>
      <c r="D673" s="5" t="s">
        <v>355</v>
      </c>
      <c r="E673" s="4" t="str">
        <f>"00971505183044"</f>
        <v>00971505183044</v>
      </c>
      <c r="F673" s="2" t="s">
        <v>12</v>
      </c>
      <c r="G673" s="2" t="s">
        <v>13</v>
      </c>
      <c r="H673" t="s">
        <v>14</v>
      </c>
      <c r="I673" s="1">
        <v>46086</v>
      </c>
      <c r="J673" t="s">
        <v>1194</v>
      </c>
    </row>
    <row r="674" spans="1:10" x14ac:dyDescent="0.25">
      <c r="A674" s="3">
        <v>46086</v>
      </c>
      <c r="B674" s="5" t="s">
        <v>1195</v>
      </c>
      <c r="C674" s="5" t="s">
        <v>1195</v>
      </c>
      <c r="D674" s="5" t="s">
        <v>355</v>
      </c>
      <c r="E674" s="4" t="str">
        <f>"0097143937059"</f>
        <v>0097143937059</v>
      </c>
      <c r="F674" s="2" t="s">
        <v>12</v>
      </c>
      <c r="G674" s="2" t="s">
        <v>13</v>
      </c>
      <c r="H674" t="s">
        <v>14</v>
      </c>
      <c r="I674" s="1">
        <v>46086</v>
      </c>
      <c r="J674" t="s">
        <v>1196</v>
      </c>
    </row>
    <row r="675" spans="1:10" x14ac:dyDescent="0.25">
      <c r="A675" s="3">
        <v>46086</v>
      </c>
      <c r="B675" s="5" t="s">
        <v>1197</v>
      </c>
      <c r="C675" s="5" t="s">
        <v>1197</v>
      </c>
      <c r="D675" s="5" t="s">
        <v>355</v>
      </c>
      <c r="E675" s="4" t="str">
        <f>"0097142721789"</f>
        <v>0097142721789</v>
      </c>
      <c r="F675" s="2" t="s">
        <v>12</v>
      </c>
      <c r="G675" s="2" t="s">
        <v>13</v>
      </c>
      <c r="H675" t="s">
        <v>14</v>
      </c>
      <c r="I675" s="1">
        <v>46086</v>
      </c>
      <c r="J675" t="s">
        <v>1198</v>
      </c>
    </row>
    <row r="676" spans="1:10" x14ac:dyDescent="0.25">
      <c r="A676" s="3">
        <v>46086</v>
      </c>
      <c r="B676" s="5" t="s">
        <v>1199</v>
      </c>
      <c r="C676" s="5" t="s">
        <v>1199</v>
      </c>
      <c r="D676" s="5" t="s">
        <v>355</v>
      </c>
      <c r="E676" s="4" t="str">
        <f>"0097143472422"</f>
        <v>0097143472422</v>
      </c>
      <c r="F676" s="2" t="s">
        <v>12</v>
      </c>
      <c r="G676" s="2" t="s">
        <v>13</v>
      </c>
      <c r="H676" t="s">
        <v>14</v>
      </c>
      <c r="I676" s="1">
        <v>46086</v>
      </c>
      <c r="J676" t="s">
        <v>1200</v>
      </c>
    </row>
    <row r="677" spans="1:10" x14ac:dyDescent="0.25">
      <c r="A677" s="3">
        <v>46086</v>
      </c>
      <c r="B677" s="5" t="s">
        <v>1201</v>
      </c>
      <c r="C677" s="5" t="s">
        <v>1201</v>
      </c>
      <c r="D677" s="5" t="s">
        <v>355</v>
      </c>
      <c r="E677" s="4" t="str">
        <f>"0097143331327"</f>
        <v>0097143331327</v>
      </c>
      <c r="F677" s="2" t="s">
        <v>12</v>
      </c>
      <c r="G677" s="2" t="s">
        <v>13</v>
      </c>
      <c r="H677" t="s">
        <v>14</v>
      </c>
      <c r="I677" s="1">
        <v>46086</v>
      </c>
      <c r="J677" t="s">
        <v>1202</v>
      </c>
    </row>
    <row r="678" spans="1:10" x14ac:dyDescent="0.25">
      <c r="A678" s="3">
        <v>46086</v>
      </c>
      <c r="B678" s="5" t="s">
        <v>1203</v>
      </c>
      <c r="C678" s="5" t="s">
        <v>1203</v>
      </c>
      <c r="D678" s="5" t="s">
        <v>355</v>
      </c>
      <c r="E678" s="4" t="str">
        <f>"0097143536144"</f>
        <v>0097143536144</v>
      </c>
      <c r="F678" s="2" t="s">
        <v>12</v>
      </c>
      <c r="G678" s="2" t="s">
        <v>13</v>
      </c>
      <c r="H678" t="s">
        <v>14</v>
      </c>
      <c r="I678" s="1">
        <v>46086</v>
      </c>
      <c r="J678" t="s">
        <v>1204</v>
      </c>
    </row>
    <row r="679" spans="1:10" x14ac:dyDescent="0.25">
      <c r="A679" s="3">
        <v>46086</v>
      </c>
      <c r="B679" s="5" t="s">
        <v>1205</v>
      </c>
      <c r="C679" s="5" t="s">
        <v>1205</v>
      </c>
      <c r="D679" s="5" t="s">
        <v>355</v>
      </c>
      <c r="E679" s="4" t="str">
        <f>"0097142229005"</f>
        <v>0097142229005</v>
      </c>
      <c r="F679" s="2" t="s">
        <v>12</v>
      </c>
      <c r="G679" s="2" t="s">
        <v>13</v>
      </c>
      <c r="H679" t="s">
        <v>14</v>
      </c>
      <c r="I679" s="1">
        <v>46086</v>
      </c>
      <c r="J679" t="s">
        <v>1206</v>
      </c>
    </row>
    <row r="680" spans="1:10" x14ac:dyDescent="0.25">
      <c r="A680" s="3">
        <v>46086</v>
      </c>
      <c r="B680" s="5" t="s">
        <v>1207</v>
      </c>
      <c r="C680" s="5" t="s">
        <v>1207</v>
      </c>
      <c r="D680" s="5" t="s">
        <v>355</v>
      </c>
      <c r="E680" s="4" t="str">
        <f>"0097142671200"</f>
        <v>0097142671200</v>
      </c>
      <c r="F680" s="2" t="s">
        <v>12</v>
      </c>
      <c r="G680" s="2" t="s">
        <v>13</v>
      </c>
      <c r="H680" t="s">
        <v>14</v>
      </c>
      <c r="I680" s="1">
        <v>46086</v>
      </c>
      <c r="J680" t="s">
        <v>1208</v>
      </c>
    </row>
    <row r="681" spans="1:10" x14ac:dyDescent="0.25">
      <c r="A681" s="3">
        <v>46086</v>
      </c>
      <c r="B681" s="5" t="s">
        <v>1207</v>
      </c>
      <c r="C681" s="5" t="s">
        <v>1207</v>
      </c>
      <c r="D681" s="5" t="s">
        <v>355</v>
      </c>
      <c r="E681" s="4" t="str">
        <f>"00971506443673"</f>
        <v>00971506443673</v>
      </c>
      <c r="F681" s="2" t="s">
        <v>12</v>
      </c>
      <c r="G681" s="2" t="s">
        <v>13</v>
      </c>
      <c r="H681" t="s">
        <v>14</v>
      </c>
      <c r="I681" s="1">
        <v>46086</v>
      </c>
      <c r="J681" t="s">
        <v>1209</v>
      </c>
    </row>
    <row r="682" spans="1:10" x14ac:dyDescent="0.25">
      <c r="A682" s="3">
        <v>46086</v>
      </c>
      <c r="B682" s="5" t="s">
        <v>1210</v>
      </c>
      <c r="C682" s="5" t="s">
        <v>1210</v>
      </c>
      <c r="D682" s="5" t="s">
        <v>355</v>
      </c>
      <c r="E682" s="4" t="str">
        <f>"0097142677740"</f>
        <v>0097142677740</v>
      </c>
      <c r="F682" s="2" t="s">
        <v>12</v>
      </c>
      <c r="G682" s="2" t="s">
        <v>13</v>
      </c>
      <c r="H682" t="s">
        <v>14</v>
      </c>
      <c r="I682" s="1">
        <v>46086</v>
      </c>
      <c r="J682" t="s">
        <v>1211</v>
      </c>
    </row>
    <row r="683" spans="1:10" x14ac:dyDescent="0.25">
      <c r="A683" s="3">
        <v>46086</v>
      </c>
      <c r="B683" s="5" t="s">
        <v>1212</v>
      </c>
      <c r="C683" s="5" t="s">
        <v>1212</v>
      </c>
      <c r="D683" s="5" t="s">
        <v>355</v>
      </c>
      <c r="E683" s="4" t="str">
        <f>"0097143556080"</f>
        <v>0097143556080</v>
      </c>
      <c r="F683" s="2" t="s">
        <v>12</v>
      </c>
      <c r="G683" s="2" t="s">
        <v>13</v>
      </c>
      <c r="H683" t="s">
        <v>14</v>
      </c>
      <c r="I683" s="1">
        <v>46086</v>
      </c>
      <c r="J683" t="s">
        <v>1213</v>
      </c>
    </row>
    <row r="684" spans="1:10" x14ac:dyDescent="0.25">
      <c r="A684" s="3">
        <v>46086</v>
      </c>
      <c r="B684" s="5" t="s">
        <v>1212</v>
      </c>
      <c r="C684" s="5" t="s">
        <v>1212</v>
      </c>
      <c r="D684" s="5" t="s">
        <v>355</v>
      </c>
      <c r="E684" s="4" t="str">
        <f>"00971504539661"</f>
        <v>00971504539661</v>
      </c>
      <c r="F684" s="2" t="s">
        <v>12</v>
      </c>
      <c r="G684" s="2" t="s">
        <v>13</v>
      </c>
      <c r="H684" t="s">
        <v>14</v>
      </c>
      <c r="I684" s="1">
        <v>46086</v>
      </c>
      <c r="J684" t="s">
        <v>1214</v>
      </c>
    </row>
    <row r="685" spans="1:10" x14ac:dyDescent="0.25">
      <c r="A685" s="3">
        <v>46086</v>
      </c>
      <c r="B685" s="5" t="s">
        <v>1215</v>
      </c>
      <c r="C685" s="5" t="s">
        <v>1215</v>
      </c>
      <c r="D685" s="5" t="s">
        <v>355</v>
      </c>
      <c r="E685" s="4" t="str">
        <f>"0097142246786"</f>
        <v>0097142246786</v>
      </c>
      <c r="F685" s="2" t="s">
        <v>12</v>
      </c>
      <c r="G685" s="2" t="s">
        <v>13</v>
      </c>
      <c r="H685" t="s">
        <v>14</v>
      </c>
      <c r="I685" s="1">
        <v>46086</v>
      </c>
      <c r="J685" t="s">
        <v>1216</v>
      </c>
    </row>
    <row r="686" spans="1:10" x14ac:dyDescent="0.25">
      <c r="A686" s="3">
        <v>46086</v>
      </c>
      <c r="B686" s="5" t="s">
        <v>1217</v>
      </c>
      <c r="C686" s="5" t="s">
        <v>1217</v>
      </c>
      <c r="D686" s="5" t="s">
        <v>355</v>
      </c>
      <c r="E686" s="4" t="str">
        <f>"0097143573726"</f>
        <v>0097143573726</v>
      </c>
      <c r="F686" s="2" t="s">
        <v>12</v>
      </c>
      <c r="G686" s="2" t="s">
        <v>13</v>
      </c>
      <c r="H686" t="s">
        <v>14</v>
      </c>
      <c r="I686" s="1">
        <v>46086</v>
      </c>
      <c r="J686" t="s">
        <v>1218</v>
      </c>
    </row>
    <row r="687" spans="1:10" x14ac:dyDescent="0.25">
      <c r="A687" s="3">
        <v>46086</v>
      </c>
      <c r="B687" s="5" t="s">
        <v>1219</v>
      </c>
      <c r="C687" s="5" t="s">
        <v>1219</v>
      </c>
      <c r="D687" s="5" t="s">
        <v>355</v>
      </c>
      <c r="E687" s="4" t="str">
        <f>"00971569949945"</f>
        <v>00971569949945</v>
      </c>
      <c r="F687" s="2" t="s">
        <v>12</v>
      </c>
      <c r="G687" s="2" t="s">
        <v>13</v>
      </c>
      <c r="H687" t="s">
        <v>14</v>
      </c>
      <c r="I687" s="1">
        <v>46086</v>
      </c>
      <c r="J687" t="s">
        <v>1220</v>
      </c>
    </row>
    <row r="688" spans="1:10" x14ac:dyDescent="0.25">
      <c r="A688" s="3">
        <v>46086</v>
      </c>
      <c r="B688" s="5" t="s">
        <v>1221</v>
      </c>
      <c r="C688" s="5" t="s">
        <v>1221</v>
      </c>
      <c r="D688" s="5" t="s">
        <v>355</v>
      </c>
      <c r="E688" s="4" t="str">
        <f>"0097142622216"</f>
        <v>0097142622216</v>
      </c>
      <c r="F688" s="2" t="s">
        <v>12</v>
      </c>
      <c r="G688" s="2" t="s">
        <v>13</v>
      </c>
      <c r="H688" t="s">
        <v>14</v>
      </c>
      <c r="I688" s="1">
        <v>46086</v>
      </c>
      <c r="J688" t="s">
        <v>1222</v>
      </c>
    </row>
    <row r="689" spans="1:10" x14ac:dyDescent="0.25">
      <c r="A689" s="3">
        <v>46086</v>
      </c>
      <c r="B689" s="5" t="s">
        <v>1223</v>
      </c>
      <c r="C689" s="5" t="s">
        <v>1223</v>
      </c>
      <c r="D689" s="5" t="s">
        <v>355</v>
      </c>
      <c r="E689" s="4" t="str">
        <f>"0097143654777"</f>
        <v>0097143654777</v>
      </c>
      <c r="F689" s="2" t="s">
        <v>12</v>
      </c>
      <c r="G689" s="2" t="s">
        <v>13</v>
      </c>
      <c r="H689" t="s">
        <v>14</v>
      </c>
      <c r="I689" s="1">
        <v>46086</v>
      </c>
      <c r="J689" t="s">
        <v>1224</v>
      </c>
    </row>
    <row r="690" spans="1:10" x14ac:dyDescent="0.25">
      <c r="A690" s="3">
        <v>46086</v>
      </c>
      <c r="B690" s="5" t="s">
        <v>1225</v>
      </c>
      <c r="C690" s="5" t="s">
        <v>1225</v>
      </c>
      <c r="D690" s="5" t="s">
        <v>355</v>
      </c>
      <c r="E690" s="4" t="str">
        <f>"00971559871279"</f>
        <v>00971559871279</v>
      </c>
      <c r="F690" s="2" t="s">
        <v>12</v>
      </c>
      <c r="G690" s="2" t="s">
        <v>13</v>
      </c>
      <c r="H690" t="s">
        <v>14</v>
      </c>
      <c r="I690" s="1">
        <v>46086</v>
      </c>
      <c r="J690" t="s">
        <v>1226</v>
      </c>
    </row>
    <row r="691" spans="1:10" x14ac:dyDescent="0.25">
      <c r="A691" s="3">
        <v>46086</v>
      </c>
      <c r="B691" s="5" t="s">
        <v>1227</v>
      </c>
      <c r="C691" s="5" t="s">
        <v>1227</v>
      </c>
      <c r="D691" s="5" t="s">
        <v>355</v>
      </c>
      <c r="E691" s="4" t="str">
        <f>"0097143296657"</f>
        <v>0097143296657</v>
      </c>
      <c r="F691" s="2" t="s">
        <v>12</v>
      </c>
      <c r="G691" s="2" t="s">
        <v>13</v>
      </c>
      <c r="H691" t="s">
        <v>14</v>
      </c>
      <c r="I691" s="1">
        <v>46086</v>
      </c>
      <c r="J691" t="s">
        <v>1228</v>
      </c>
    </row>
    <row r="692" spans="1:10" x14ac:dyDescent="0.25">
      <c r="A692" s="3">
        <v>46086</v>
      </c>
      <c r="B692" s="5" t="s">
        <v>1229</v>
      </c>
      <c r="C692" s="5" t="s">
        <v>1229</v>
      </c>
      <c r="D692" s="5" t="s">
        <v>355</v>
      </c>
      <c r="E692" s="4" t="str">
        <f>"0097143332378"</f>
        <v>0097143332378</v>
      </c>
      <c r="F692" s="2" t="s">
        <v>12</v>
      </c>
      <c r="G692" s="2" t="s">
        <v>13</v>
      </c>
      <c r="H692" t="s">
        <v>14</v>
      </c>
      <c r="I692" s="1">
        <v>46086</v>
      </c>
      <c r="J692" t="s">
        <v>1230</v>
      </c>
    </row>
    <row r="693" spans="1:10" x14ac:dyDescent="0.25">
      <c r="A693" s="3">
        <v>46086</v>
      </c>
      <c r="B693" s="5" t="s">
        <v>1229</v>
      </c>
      <c r="C693" s="5" t="s">
        <v>1229</v>
      </c>
      <c r="D693" s="5" t="s">
        <v>355</v>
      </c>
      <c r="E693" s="4" t="str">
        <f>"00971565395357"</f>
        <v>00971565395357</v>
      </c>
      <c r="F693" s="2" t="s">
        <v>12</v>
      </c>
      <c r="G693" s="2" t="s">
        <v>13</v>
      </c>
      <c r="H693" t="s">
        <v>14</v>
      </c>
      <c r="I693" s="1">
        <v>46086</v>
      </c>
      <c r="J693" t="s">
        <v>1231</v>
      </c>
    </row>
    <row r="694" spans="1:10" x14ac:dyDescent="0.25">
      <c r="A694" s="3">
        <v>46086</v>
      </c>
      <c r="B694" s="5" t="s">
        <v>1232</v>
      </c>
      <c r="C694" s="5" t="s">
        <v>1232</v>
      </c>
      <c r="D694" s="5" t="s">
        <v>355</v>
      </c>
      <c r="E694" s="4" t="str">
        <f>"0097142236659"</f>
        <v>0097142236659</v>
      </c>
      <c r="F694" s="2" t="s">
        <v>12</v>
      </c>
      <c r="G694" s="2" t="s">
        <v>13</v>
      </c>
      <c r="H694" t="s">
        <v>14</v>
      </c>
      <c r="I694" s="1">
        <v>46086</v>
      </c>
      <c r="J694" t="s">
        <v>1233</v>
      </c>
    </row>
    <row r="695" spans="1:10" x14ac:dyDescent="0.25">
      <c r="A695" s="3">
        <v>46086</v>
      </c>
      <c r="B695" s="5" t="s">
        <v>1232</v>
      </c>
      <c r="C695" s="5" t="s">
        <v>1232</v>
      </c>
      <c r="D695" s="5" t="s">
        <v>355</v>
      </c>
      <c r="E695" s="4" t="str">
        <f>"00971565395357"</f>
        <v>00971565395357</v>
      </c>
      <c r="F695" s="2" t="s">
        <v>12</v>
      </c>
      <c r="G695" s="2" t="s">
        <v>13</v>
      </c>
      <c r="H695" t="s">
        <v>14</v>
      </c>
      <c r="I695" s="1">
        <v>46086</v>
      </c>
      <c r="J695" t="s">
        <v>1234</v>
      </c>
    </row>
    <row r="696" spans="1:10" x14ac:dyDescent="0.25">
      <c r="A696" s="3">
        <v>46086</v>
      </c>
      <c r="B696" s="5" t="s">
        <v>1235</v>
      </c>
      <c r="C696" s="5" t="s">
        <v>1235</v>
      </c>
      <c r="D696" s="5" t="s">
        <v>355</v>
      </c>
      <c r="E696" s="4" t="str">
        <f>"0097144281323"</f>
        <v>0097144281323</v>
      </c>
      <c r="F696" s="2" t="s">
        <v>12</v>
      </c>
      <c r="G696" s="2" t="s">
        <v>13</v>
      </c>
      <c r="H696" t="s">
        <v>14</v>
      </c>
      <c r="I696" s="1">
        <v>46086</v>
      </c>
      <c r="J696" t="s">
        <v>1236</v>
      </c>
    </row>
    <row r="697" spans="1:10" x14ac:dyDescent="0.25">
      <c r="A697" s="3">
        <v>46086</v>
      </c>
      <c r="B697" s="5" t="s">
        <v>1237</v>
      </c>
      <c r="C697" s="5" t="s">
        <v>1237</v>
      </c>
      <c r="D697" s="5" t="s">
        <v>355</v>
      </c>
      <c r="E697" s="4" t="str">
        <f>"00971557984874"</f>
        <v>00971557984874</v>
      </c>
      <c r="F697" s="2" t="s">
        <v>12</v>
      </c>
      <c r="G697" s="2" t="s">
        <v>13</v>
      </c>
      <c r="H697" t="s">
        <v>14</v>
      </c>
      <c r="I697" s="1">
        <v>46086</v>
      </c>
      <c r="J697" t="s">
        <v>1238</v>
      </c>
    </row>
    <row r="698" spans="1:10" x14ac:dyDescent="0.25">
      <c r="A698" s="3">
        <v>46086</v>
      </c>
      <c r="B698" s="5" t="s">
        <v>1239</v>
      </c>
      <c r="C698" s="5" t="s">
        <v>1239</v>
      </c>
      <c r="D698" s="5" t="s">
        <v>355</v>
      </c>
      <c r="E698" s="4" t="str">
        <f>"0097143557007"</f>
        <v>0097143557007</v>
      </c>
      <c r="F698" s="2" t="s">
        <v>12</v>
      </c>
      <c r="G698" s="2" t="s">
        <v>13</v>
      </c>
      <c r="H698" t="s">
        <v>14</v>
      </c>
      <c r="I698" s="1">
        <v>46086</v>
      </c>
      <c r="J698" t="s">
        <v>1240</v>
      </c>
    </row>
    <row r="699" spans="1:10" x14ac:dyDescent="0.25">
      <c r="A699" s="3">
        <v>46086</v>
      </c>
      <c r="B699" s="5" t="s">
        <v>1241</v>
      </c>
      <c r="C699" s="5" t="s">
        <v>1241</v>
      </c>
      <c r="D699" s="5" t="s">
        <v>355</v>
      </c>
      <c r="E699" s="4" t="str">
        <f>"0097143517477"</f>
        <v>0097143517477</v>
      </c>
      <c r="F699" s="2" t="s">
        <v>12</v>
      </c>
      <c r="G699" s="2" t="s">
        <v>13</v>
      </c>
      <c r="H699" t="s">
        <v>14</v>
      </c>
      <c r="I699" s="1">
        <v>46086</v>
      </c>
      <c r="J699" t="s">
        <v>1242</v>
      </c>
    </row>
    <row r="700" spans="1:10" x14ac:dyDescent="0.25">
      <c r="A700" s="3">
        <v>46086</v>
      </c>
      <c r="B700" s="5" t="s">
        <v>1243</v>
      </c>
      <c r="C700" s="5" t="s">
        <v>1243</v>
      </c>
      <c r="D700" s="5" t="s">
        <v>355</v>
      </c>
      <c r="E700" s="4" t="str">
        <f>"00971543414174"</f>
        <v>00971543414174</v>
      </c>
      <c r="F700" s="2" t="s">
        <v>12</v>
      </c>
      <c r="G700" s="2" t="s">
        <v>13</v>
      </c>
      <c r="H700" t="s">
        <v>14</v>
      </c>
      <c r="I700" s="1">
        <v>46086</v>
      </c>
      <c r="J700" t="s">
        <v>1244</v>
      </c>
    </row>
    <row r="701" spans="1:10" x14ac:dyDescent="0.25">
      <c r="A701" s="3">
        <v>46086</v>
      </c>
      <c r="B701" s="5" t="s">
        <v>1243</v>
      </c>
      <c r="C701" s="5" t="s">
        <v>1243</v>
      </c>
      <c r="D701" s="5" t="s">
        <v>355</v>
      </c>
      <c r="E701" s="4" t="str">
        <f>"00971545619999"</f>
        <v>00971545619999</v>
      </c>
      <c r="F701" s="2" t="s">
        <v>12</v>
      </c>
      <c r="G701" s="2" t="s">
        <v>13</v>
      </c>
      <c r="H701" t="s">
        <v>14</v>
      </c>
      <c r="I701" s="1">
        <v>46086</v>
      </c>
      <c r="J701" t="s">
        <v>1244</v>
      </c>
    </row>
    <row r="702" spans="1:10" x14ac:dyDescent="0.25">
      <c r="A702" s="3">
        <v>46086</v>
      </c>
      <c r="B702" s="5" t="s">
        <v>1245</v>
      </c>
      <c r="C702" s="5" t="s">
        <v>1245</v>
      </c>
      <c r="D702" s="5" t="s">
        <v>355</v>
      </c>
      <c r="E702" s="4" t="str">
        <f>"00971509434873"</f>
        <v>00971509434873</v>
      </c>
      <c r="F702" s="2" t="s">
        <v>12</v>
      </c>
      <c r="G702" s="2" t="s">
        <v>13</v>
      </c>
      <c r="H702" t="s">
        <v>14</v>
      </c>
      <c r="I702" s="1">
        <v>46086</v>
      </c>
      <c r="J702" t="s">
        <v>1246</v>
      </c>
    </row>
    <row r="703" spans="1:10" x14ac:dyDescent="0.25">
      <c r="A703" s="3">
        <v>46086</v>
      </c>
      <c r="B703" s="5" t="s">
        <v>1247</v>
      </c>
      <c r="C703" s="5" t="s">
        <v>1247</v>
      </c>
      <c r="D703" s="5" t="s">
        <v>355</v>
      </c>
      <c r="E703" s="4" t="str">
        <f>"0097143957222"</f>
        <v>0097143957222</v>
      </c>
      <c r="F703" s="2" t="s">
        <v>12</v>
      </c>
      <c r="G703" s="2" t="s">
        <v>13</v>
      </c>
      <c r="H703" t="s">
        <v>14</v>
      </c>
      <c r="I703" s="1">
        <v>46086</v>
      </c>
      <c r="J703" t="s">
        <v>1248</v>
      </c>
    </row>
    <row r="704" spans="1:10" x14ac:dyDescent="0.25">
      <c r="A704" s="3">
        <v>46086</v>
      </c>
      <c r="B704" s="5" t="s">
        <v>1249</v>
      </c>
      <c r="C704" s="5" t="s">
        <v>1249</v>
      </c>
      <c r="D704" s="5" t="s">
        <v>355</v>
      </c>
      <c r="E704" s="4" t="str">
        <f>"0097148886574"</f>
        <v>0097148886574</v>
      </c>
      <c r="F704" s="2" t="s">
        <v>12</v>
      </c>
      <c r="G704" s="2" t="s">
        <v>13</v>
      </c>
      <c r="H704" t="s">
        <v>14</v>
      </c>
      <c r="I704" s="1">
        <v>46086</v>
      </c>
      <c r="J704" t="s">
        <v>1250</v>
      </c>
    </row>
    <row r="705" spans="1:10" x14ac:dyDescent="0.25">
      <c r="A705" s="3">
        <v>46086</v>
      </c>
      <c r="B705" s="5" t="s">
        <v>1249</v>
      </c>
      <c r="C705" s="5" t="s">
        <v>1249</v>
      </c>
      <c r="D705" s="5" t="s">
        <v>355</v>
      </c>
      <c r="E705" s="4" t="str">
        <f>"00971562537958"</f>
        <v>00971562537958</v>
      </c>
      <c r="F705" s="2" t="s">
        <v>12</v>
      </c>
      <c r="G705" s="2" t="s">
        <v>13</v>
      </c>
      <c r="H705" t="s">
        <v>14</v>
      </c>
      <c r="I705" s="1">
        <v>46086</v>
      </c>
      <c r="J705" t="s">
        <v>1251</v>
      </c>
    </row>
    <row r="706" spans="1:10" x14ac:dyDescent="0.25">
      <c r="A706" s="3">
        <v>46086</v>
      </c>
      <c r="B706" s="5" t="s">
        <v>1252</v>
      </c>
      <c r="C706" s="5" t="s">
        <v>1252</v>
      </c>
      <c r="D706" s="5" t="s">
        <v>355</v>
      </c>
      <c r="E706" s="4" t="str">
        <f>"0097143706522"</f>
        <v>0097143706522</v>
      </c>
      <c r="F706" s="2" t="s">
        <v>12</v>
      </c>
      <c r="G706" s="2" t="s">
        <v>13</v>
      </c>
      <c r="H706" t="s">
        <v>14</v>
      </c>
      <c r="I706" s="1">
        <v>46086</v>
      </c>
      <c r="J706" t="s">
        <v>1253</v>
      </c>
    </row>
    <row r="707" spans="1:10" x14ac:dyDescent="0.25">
      <c r="A707" s="3">
        <v>46086</v>
      </c>
      <c r="B707" s="5" t="s">
        <v>1254</v>
      </c>
      <c r="C707" s="5" t="s">
        <v>1254</v>
      </c>
      <c r="D707" s="5" t="s">
        <v>355</v>
      </c>
      <c r="E707" s="4" t="str">
        <f>"0097142324081"</f>
        <v>0097142324081</v>
      </c>
      <c r="F707" s="2" t="s">
        <v>12</v>
      </c>
      <c r="G707" s="2" t="s">
        <v>13</v>
      </c>
      <c r="H707" t="s">
        <v>14</v>
      </c>
      <c r="I707" s="1">
        <v>46086</v>
      </c>
      <c r="J707" t="s">
        <v>1255</v>
      </c>
    </row>
    <row r="708" spans="1:10" x14ac:dyDescent="0.25">
      <c r="A708" s="3">
        <v>46086</v>
      </c>
      <c r="B708" s="5" t="s">
        <v>1254</v>
      </c>
      <c r="C708" s="5" t="s">
        <v>1254</v>
      </c>
      <c r="D708" s="5" t="s">
        <v>355</v>
      </c>
      <c r="E708" s="4" t="str">
        <f>"00971551273439"</f>
        <v>00971551273439</v>
      </c>
      <c r="F708" s="2" t="s">
        <v>12</v>
      </c>
      <c r="G708" s="2" t="s">
        <v>13</v>
      </c>
      <c r="H708" t="s">
        <v>14</v>
      </c>
      <c r="I708" s="1">
        <v>46086</v>
      </c>
      <c r="J708" t="s">
        <v>1256</v>
      </c>
    </row>
    <row r="709" spans="1:10" x14ac:dyDescent="0.25">
      <c r="A709" s="3">
        <v>46086</v>
      </c>
      <c r="B709" s="5" t="s">
        <v>1257</v>
      </c>
      <c r="C709" s="5" t="s">
        <v>1257</v>
      </c>
      <c r="D709" s="5" t="s">
        <v>355</v>
      </c>
      <c r="E709" s="4" t="str">
        <f>"0097143977857"</f>
        <v>0097143977857</v>
      </c>
      <c r="F709" s="2" t="s">
        <v>12</v>
      </c>
      <c r="G709" s="2" t="s">
        <v>13</v>
      </c>
      <c r="H709" t="s">
        <v>14</v>
      </c>
      <c r="I709" s="1">
        <v>46086</v>
      </c>
      <c r="J709" t="s">
        <v>1258</v>
      </c>
    </row>
    <row r="710" spans="1:10" x14ac:dyDescent="0.25">
      <c r="A710" s="3">
        <v>46086</v>
      </c>
      <c r="B710" s="5" t="s">
        <v>1257</v>
      </c>
      <c r="C710" s="5" t="s">
        <v>1257</v>
      </c>
      <c r="D710" s="5" t="s">
        <v>355</v>
      </c>
      <c r="E710" s="4" t="str">
        <f>"00971503506375"</f>
        <v>00971503506375</v>
      </c>
      <c r="F710" s="2" t="s">
        <v>12</v>
      </c>
      <c r="G710" s="2" t="s">
        <v>13</v>
      </c>
      <c r="H710" t="s">
        <v>14</v>
      </c>
      <c r="I710" s="1">
        <v>46086</v>
      </c>
      <c r="J710" t="s">
        <v>1259</v>
      </c>
    </row>
    <row r="711" spans="1:10" x14ac:dyDescent="0.25">
      <c r="A711" s="3">
        <v>46086</v>
      </c>
      <c r="B711" s="5" t="s">
        <v>1260</v>
      </c>
      <c r="C711" s="5" t="s">
        <v>1260</v>
      </c>
      <c r="D711" s="5" t="s">
        <v>355</v>
      </c>
      <c r="E711" s="4" t="str">
        <f>"00971508375841"</f>
        <v>00971508375841</v>
      </c>
      <c r="F711" s="2" t="s">
        <v>12</v>
      </c>
      <c r="G711" s="2" t="s">
        <v>13</v>
      </c>
      <c r="H711" t="s">
        <v>14</v>
      </c>
      <c r="I711" s="1">
        <v>46086</v>
      </c>
      <c r="J711" t="s">
        <v>1261</v>
      </c>
    </row>
    <row r="712" spans="1:10" x14ac:dyDescent="0.25">
      <c r="A712" s="3">
        <v>46086</v>
      </c>
      <c r="B712" s="5" t="s">
        <v>1262</v>
      </c>
      <c r="C712" s="5" t="s">
        <v>1262</v>
      </c>
      <c r="D712" s="5" t="s">
        <v>355</v>
      </c>
      <c r="E712" s="4" t="str">
        <f>"0097143354633"</f>
        <v>0097143354633</v>
      </c>
      <c r="F712" s="2" t="s">
        <v>12</v>
      </c>
      <c r="G712" s="2" t="s">
        <v>13</v>
      </c>
      <c r="H712" t="s">
        <v>14</v>
      </c>
      <c r="I712" s="1">
        <v>46086</v>
      </c>
      <c r="J712" t="s">
        <v>1263</v>
      </c>
    </row>
    <row r="713" spans="1:10" x14ac:dyDescent="0.25">
      <c r="A713" s="3">
        <v>46086</v>
      </c>
      <c r="B713" s="5" t="s">
        <v>1262</v>
      </c>
      <c r="C713" s="5" t="s">
        <v>1262</v>
      </c>
      <c r="D713" s="5" t="s">
        <v>355</v>
      </c>
      <c r="E713" s="4" t="str">
        <f>"00971501255750"</f>
        <v>00971501255750</v>
      </c>
      <c r="F713" s="2" t="s">
        <v>12</v>
      </c>
      <c r="G713" s="2" t="s">
        <v>13</v>
      </c>
      <c r="H713" t="s">
        <v>14</v>
      </c>
      <c r="I713" s="1">
        <v>46086</v>
      </c>
      <c r="J713" t="s">
        <v>1264</v>
      </c>
    </row>
    <row r="714" spans="1:10" x14ac:dyDescent="0.25">
      <c r="A714" s="3">
        <v>46086</v>
      </c>
      <c r="B714" s="5" t="s">
        <v>1262</v>
      </c>
      <c r="C714" s="5" t="s">
        <v>1262</v>
      </c>
      <c r="D714" s="5" t="s">
        <v>355</v>
      </c>
      <c r="E714" s="4" t="str">
        <f>"00971564920009"</f>
        <v>00971564920009</v>
      </c>
      <c r="F714" s="2" t="s">
        <v>12</v>
      </c>
      <c r="G714" s="2" t="s">
        <v>13</v>
      </c>
      <c r="H714" t="s">
        <v>14</v>
      </c>
      <c r="I714" s="1">
        <v>46086</v>
      </c>
      <c r="J714" t="s">
        <v>1264</v>
      </c>
    </row>
    <row r="715" spans="1:10" x14ac:dyDescent="0.25">
      <c r="A715" s="3">
        <v>46086</v>
      </c>
      <c r="B715" s="5" t="s">
        <v>1265</v>
      </c>
      <c r="C715" s="5" t="s">
        <v>1265</v>
      </c>
      <c r="D715" s="5" t="s">
        <v>355</v>
      </c>
      <c r="E715" s="4" t="str">
        <f>"0097143535601"</f>
        <v>0097143535601</v>
      </c>
      <c r="F715" s="2" t="s">
        <v>12</v>
      </c>
      <c r="G715" s="2" t="s">
        <v>13</v>
      </c>
      <c r="H715" t="s">
        <v>14</v>
      </c>
      <c r="I715" s="1">
        <v>46086</v>
      </c>
      <c r="J715" t="s">
        <v>1266</v>
      </c>
    </row>
    <row r="716" spans="1:10" x14ac:dyDescent="0.25">
      <c r="A716" s="3">
        <v>46086</v>
      </c>
      <c r="B716" s="5" t="s">
        <v>1267</v>
      </c>
      <c r="C716" s="5" t="s">
        <v>1267</v>
      </c>
      <c r="D716" s="5" t="s">
        <v>355</v>
      </c>
      <c r="E716" s="4" t="str">
        <f>"0097142507778"</f>
        <v>0097142507778</v>
      </c>
      <c r="F716" s="2" t="s">
        <v>12</v>
      </c>
      <c r="G716" s="2" t="s">
        <v>13</v>
      </c>
      <c r="H716" t="s">
        <v>14</v>
      </c>
      <c r="I716" s="1">
        <v>46086</v>
      </c>
      <c r="J716" t="s">
        <v>1268</v>
      </c>
    </row>
    <row r="717" spans="1:10" x14ac:dyDescent="0.25">
      <c r="A717" s="3">
        <v>46086</v>
      </c>
      <c r="B717" s="5" t="s">
        <v>1269</v>
      </c>
      <c r="C717" s="5" t="s">
        <v>1269</v>
      </c>
      <c r="D717" s="5" t="s">
        <v>355</v>
      </c>
      <c r="E717" s="4" t="str">
        <f>"0097142274546"</f>
        <v>0097142274546</v>
      </c>
      <c r="F717" s="2" t="s">
        <v>12</v>
      </c>
      <c r="G717" s="2" t="s">
        <v>13</v>
      </c>
      <c r="H717" t="s">
        <v>14</v>
      </c>
      <c r="I717" s="1">
        <v>46086</v>
      </c>
      <c r="J717" t="s">
        <v>1270</v>
      </c>
    </row>
    <row r="718" spans="1:10" x14ac:dyDescent="0.25">
      <c r="A718" s="3">
        <v>46086</v>
      </c>
      <c r="B718" s="5" t="s">
        <v>1271</v>
      </c>
      <c r="C718" s="5" t="s">
        <v>1271</v>
      </c>
      <c r="D718" s="5" t="s">
        <v>355</v>
      </c>
      <c r="E718" s="4" t="str">
        <f>"0097144230988"</f>
        <v>0097144230988</v>
      </c>
      <c r="F718" s="2" t="s">
        <v>12</v>
      </c>
      <c r="G718" s="2" t="s">
        <v>13</v>
      </c>
      <c r="H718" t="s">
        <v>14</v>
      </c>
      <c r="I718" s="1">
        <v>46086</v>
      </c>
      <c r="J718" t="s">
        <v>1272</v>
      </c>
    </row>
    <row r="719" spans="1:10" x14ac:dyDescent="0.25">
      <c r="A719" s="3">
        <v>46086</v>
      </c>
      <c r="B719" s="5" t="s">
        <v>1273</v>
      </c>
      <c r="C719" s="5" t="s">
        <v>1273</v>
      </c>
      <c r="D719" s="5" t="s">
        <v>355</v>
      </c>
      <c r="E719" s="4" t="str">
        <f>"0097142865550"</f>
        <v>0097142865550</v>
      </c>
      <c r="F719" s="2" t="s">
        <v>12</v>
      </c>
      <c r="G719" s="2" t="s">
        <v>13</v>
      </c>
      <c r="H719" t="s">
        <v>14</v>
      </c>
      <c r="I719" s="1">
        <v>46086</v>
      </c>
      <c r="J719" t="s">
        <v>1274</v>
      </c>
    </row>
    <row r="720" spans="1:10" x14ac:dyDescent="0.25">
      <c r="A720" s="3">
        <v>46086</v>
      </c>
      <c r="B720" s="5" t="s">
        <v>1275</v>
      </c>
      <c r="C720" s="5" t="s">
        <v>1275</v>
      </c>
      <c r="D720" s="5" t="s">
        <v>355</v>
      </c>
      <c r="E720" s="4" t="str">
        <f>"0097142248388"</f>
        <v>0097142248388</v>
      </c>
      <c r="F720" s="2" t="s">
        <v>12</v>
      </c>
      <c r="G720" s="2" t="s">
        <v>13</v>
      </c>
      <c r="H720" t="s">
        <v>14</v>
      </c>
      <c r="I720" s="1">
        <v>46086</v>
      </c>
      <c r="J720" t="s">
        <v>1276</v>
      </c>
    </row>
    <row r="721" spans="1:10" x14ac:dyDescent="0.25">
      <c r="A721" s="3">
        <v>46086</v>
      </c>
      <c r="B721" s="5" t="s">
        <v>1277</v>
      </c>
      <c r="C721" s="5" t="s">
        <v>1277</v>
      </c>
      <c r="D721" s="5" t="s">
        <v>355</v>
      </c>
      <c r="E721" s="4" t="str">
        <f>"0097142262702"</f>
        <v>0097142262702</v>
      </c>
      <c r="F721" s="2" t="s">
        <v>12</v>
      </c>
      <c r="G721" s="2" t="s">
        <v>13</v>
      </c>
      <c r="H721" t="s">
        <v>14</v>
      </c>
      <c r="I721" s="1">
        <v>46086</v>
      </c>
      <c r="J721" t="s">
        <v>1278</v>
      </c>
    </row>
    <row r="722" spans="1:10" x14ac:dyDescent="0.25">
      <c r="A722" s="3">
        <v>46086</v>
      </c>
      <c r="B722" s="5" t="s">
        <v>1279</v>
      </c>
      <c r="C722" s="5" t="s">
        <v>1279</v>
      </c>
      <c r="D722" s="5" t="s">
        <v>355</v>
      </c>
      <c r="E722" s="4" t="str">
        <f>"00971551972222"</f>
        <v>00971551972222</v>
      </c>
      <c r="F722" s="2" t="s">
        <v>12</v>
      </c>
      <c r="G722" s="2" t="s">
        <v>13</v>
      </c>
      <c r="H722" t="s">
        <v>14</v>
      </c>
      <c r="I722" s="1">
        <v>46086</v>
      </c>
      <c r="J722" t="s">
        <v>1280</v>
      </c>
    </row>
    <row r="723" spans="1:10" x14ac:dyDescent="0.25">
      <c r="A723" s="3">
        <v>46086</v>
      </c>
      <c r="B723" s="5" t="s">
        <v>1281</v>
      </c>
      <c r="C723" s="5" t="s">
        <v>1281</v>
      </c>
      <c r="D723" s="5" t="s">
        <v>355</v>
      </c>
      <c r="E723" s="4" t="str">
        <f>"00971552850082"</f>
        <v>00971552850082</v>
      </c>
      <c r="F723" s="2" t="s">
        <v>12</v>
      </c>
      <c r="G723" s="2" t="s">
        <v>13</v>
      </c>
      <c r="H723" t="s">
        <v>14</v>
      </c>
      <c r="I723" s="1">
        <v>46086</v>
      </c>
      <c r="J723" t="s">
        <v>1282</v>
      </c>
    </row>
    <row r="724" spans="1:10" x14ac:dyDescent="0.25">
      <c r="A724" s="3">
        <v>46086</v>
      </c>
      <c r="B724" s="5" t="s">
        <v>1283</v>
      </c>
      <c r="C724" s="5" t="s">
        <v>1283</v>
      </c>
      <c r="D724" s="5" t="s">
        <v>355</v>
      </c>
      <c r="E724" s="4" t="str">
        <f>"0097142989363"</f>
        <v>0097142989363</v>
      </c>
      <c r="F724" s="2" t="s">
        <v>12</v>
      </c>
      <c r="G724" s="2" t="s">
        <v>13</v>
      </c>
      <c r="H724" t="s">
        <v>14</v>
      </c>
      <c r="I724" s="1">
        <v>46086</v>
      </c>
      <c r="J724" t="s">
        <v>1284</v>
      </c>
    </row>
    <row r="725" spans="1:10" x14ac:dyDescent="0.25">
      <c r="A725" s="3">
        <v>46086</v>
      </c>
      <c r="B725" s="5" t="s">
        <v>1285</v>
      </c>
      <c r="C725" s="5" t="s">
        <v>1285</v>
      </c>
      <c r="D725" s="5" t="s">
        <v>355</v>
      </c>
      <c r="E725" s="4" t="str">
        <f>"0097142243912"</f>
        <v>0097142243912</v>
      </c>
      <c r="F725" s="2" t="s">
        <v>12</v>
      </c>
      <c r="G725" s="2" t="s">
        <v>13</v>
      </c>
      <c r="H725" t="s">
        <v>14</v>
      </c>
      <c r="I725" s="1">
        <v>46086</v>
      </c>
      <c r="J725" t="s">
        <v>1286</v>
      </c>
    </row>
    <row r="726" spans="1:10" x14ac:dyDescent="0.25">
      <c r="A726" s="3">
        <v>46086</v>
      </c>
      <c r="B726" s="5" t="s">
        <v>1287</v>
      </c>
      <c r="C726" s="5" t="s">
        <v>1287</v>
      </c>
      <c r="D726" s="5" t="s">
        <v>355</v>
      </c>
      <c r="E726" s="4" t="str">
        <f>"0097142670375"</f>
        <v>0097142670375</v>
      </c>
      <c r="F726" s="2" t="s">
        <v>12</v>
      </c>
      <c r="G726" s="2" t="s">
        <v>13</v>
      </c>
      <c r="H726" t="s">
        <v>14</v>
      </c>
      <c r="I726" s="1">
        <v>46086</v>
      </c>
      <c r="J726" t="s">
        <v>1288</v>
      </c>
    </row>
    <row r="727" spans="1:10" x14ac:dyDescent="0.25">
      <c r="A727" s="3">
        <v>46086</v>
      </c>
      <c r="B727" s="5" t="s">
        <v>1289</v>
      </c>
      <c r="C727" s="5" t="s">
        <v>1289</v>
      </c>
      <c r="D727" s="5" t="s">
        <v>355</v>
      </c>
      <c r="E727" s="4" t="str">
        <f>"0097142637311"</f>
        <v>0097142637311</v>
      </c>
      <c r="F727" s="2" t="s">
        <v>12</v>
      </c>
      <c r="G727" s="2" t="s">
        <v>13</v>
      </c>
      <c r="H727" t="s">
        <v>14</v>
      </c>
      <c r="I727" s="1">
        <v>46086</v>
      </c>
      <c r="J727" t="s">
        <v>1290</v>
      </c>
    </row>
    <row r="728" spans="1:10" x14ac:dyDescent="0.25">
      <c r="A728" s="3">
        <v>46086</v>
      </c>
      <c r="B728" s="5" t="s">
        <v>1291</v>
      </c>
      <c r="C728" s="5" t="s">
        <v>1291</v>
      </c>
      <c r="D728" s="5" t="s">
        <v>355</v>
      </c>
      <c r="E728" s="4" t="str">
        <f>"0097142227634"</f>
        <v>0097142227634</v>
      </c>
      <c r="F728" s="2" t="s">
        <v>12</v>
      </c>
      <c r="G728" s="2" t="s">
        <v>13</v>
      </c>
      <c r="H728" t="s">
        <v>14</v>
      </c>
      <c r="I728" s="1">
        <v>46086</v>
      </c>
      <c r="J728" t="s">
        <v>1292</v>
      </c>
    </row>
    <row r="729" spans="1:10" x14ac:dyDescent="0.25">
      <c r="A729" s="3">
        <v>46086</v>
      </c>
      <c r="B729" s="5" t="s">
        <v>1293</v>
      </c>
      <c r="C729" s="5" t="s">
        <v>1293</v>
      </c>
      <c r="D729" s="5" t="s">
        <v>355</v>
      </c>
      <c r="E729" s="4" t="str">
        <f>"0097142592923"</f>
        <v>0097142592923</v>
      </c>
      <c r="F729" s="2" t="s">
        <v>12</v>
      </c>
      <c r="G729" s="2" t="s">
        <v>13</v>
      </c>
      <c r="H729" t="s">
        <v>14</v>
      </c>
      <c r="I729" s="1">
        <v>46086</v>
      </c>
      <c r="J729" t="s">
        <v>1294</v>
      </c>
    </row>
    <row r="730" spans="1:10" x14ac:dyDescent="0.25">
      <c r="A730" s="3">
        <v>46086</v>
      </c>
      <c r="B730" s="5" t="s">
        <v>1295</v>
      </c>
      <c r="C730" s="5" t="s">
        <v>1295</v>
      </c>
      <c r="D730" s="5" t="s">
        <v>355</v>
      </c>
      <c r="E730" s="4" t="str">
        <f>"0097142353947"</f>
        <v>0097142353947</v>
      </c>
      <c r="F730" s="2" t="s">
        <v>12</v>
      </c>
      <c r="G730" s="2" t="s">
        <v>13</v>
      </c>
      <c r="H730" t="s">
        <v>14</v>
      </c>
      <c r="I730" s="1">
        <v>46086</v>
      </c>
      <c r="J730" t="s">
        <v>1296</v>
      </c>
    </row>
    <row r="731" spans="1:10" x14ac:dyDescent="0.25">
      <c r="A731" s="3">
        <v>46086</v>
      </c>
      <c r="B731" s="5" t="s">
        <v>1297</v>
      </c>
      <c r="C731" s="5" t="s">
        <v>1297</v>
      </c>
      <c r="D731" s="5" t="s">
        <v>355</v>
      </c>
      <c r="E731" s="4" t="str">
        <f>"0097142260957"</f>
        <v>0097142260957</v>
      </c>
      <c r="F731" s="2" t="s">
        <v>12</v>
      </c>
      <c r="G731" s="2" t="s">
        <v>13</v>
      </c>
      <c r="H731" t="s">
        <v>14</v>
      </c>
      <c r="I731" s="1">
        <v>46086</v>
      </c>
      <c r="J731" t="s">
        <v>1298</v>
      </c>
    </row>
    <row r="732" spans="1:10" x14ac:dyDescent="0.25">
      <c r="A732" s="3">
        <v>46086</v>
      </c>
      <c r="B732" s="5" t="s">
        <v>1299</v>
      </c>
      <c r="C732" s="5" t="s">
        <v>1299</v>
      </c>
      <c r="D732" s="5" t="s">
        <v>355</v>
      </c>
      <c r="E732" s="4" t="str">
        <f>"0097142264596"</f>
        <v>0097142264596</v>
      </c>
      <c r="F732" s="2" t="s">
        <v>12</v>
      </c>
      <c r="G732" s="2" t="s">
        <v>13</v>
      </c>
      <c r="H732" t="s">
        <v>14</v>
      </c>
      <c r="I732" s="1">
        <v>46086</v>
      </c>
      <c r="J732" t="s">
        <v>1300</v>
      </c>
    </row>
    <row r="733" spans="1:10" x14ac:dyDescent="0.25">
      <c r="A733" s="3">
        <v>46086</v>
      </c>
      <c r="B733" s="5" t="s">
        <v>1301</v>
      </c>
      <c r="C733" s="5" t="s">
        <v>1301</v>
      </c>
      <c r="D733" s="5" t="s">
        <v>355</v>
      </c>
      <c r="E733" s="4" t="str">
        <f>"0097142257584"</f>
        <v>0097142257584</v>
      </c>
      <c r="F733" s="2" t="s">
        <v>12</v>
      </c>
      <c r="G733" s="2" t="s">
        <v>13</v>
      </c>
      <c r="H733" t="s">
        <v>14</v>
      </c>
      <c r="I733" s="1">
        <v>46086</v>
      </c>
      <c r="J733" t="s">
        <v>1302</v>
      </c>
    </row>
    <row r="734" spans="1:10" x14ac:dyDescent="0.25">
      <c r="A734" s="3">
        <v>46086</v>
      </c>
      <c r="B734" s="5" t="s">
        <v>1303</v>
      </c>
      <c r="C734" s="5" t="s">
        <v>1303</v>
      </c>
      <c r="D734" s="5" t="s">
        <v>355</v>
      </c>
      <c r="E734" s="4" t="str">
        <f>"0097142233918"</f>
        <v>0097142233918</v>
      </c>
      <c r="F734" s="2" t="s">
        <v>12</v>
      </c>
      <c r="G734" s="2" t="s">
        <v>13</v>
      </c>
      <c r="H734" t="s">
        <v>14</v>
      </c>
      <c r="I734" s="1">
        <v>46086</v>
      </c>
      <c r="J734" t="s">
        <v>1304</v>
      </c>
    </row>
    <row r="735" spans="1:10" x14ac:dyDescent="0.25">
      <c r="A735" s="3">
        <v>46086</v>
      </c>
      <c r="B735" s="5" t="s">
        <v>1303</v>
      </c>
      <c r="C735" s="5" t="s">
        <v>1303</v>
      </c>
      <c r="D735" s="5" t="s">
        <v>355</v>
      </c>
      <c r="E735" s="4" t="str">
        <f>"00971555499224"</f>
        <v>00971555499224</v>
      </c>
      <c r="F735" s="2" t="s">
        <v>12</v>
      </c>
      <c r="G735" s="2" t="s">
        <v>13</v>
      </c>
      <c r="H735" t="s">
        <v>14</v>
      </c>
      <c r="I735" s="1">
        <v>46086</v>
      </c>
      <c r="J735" t="s">
        <v>1305</v>
      </c>
    </row>
    <row r="736" spans="1:10" x14ac:dyDescent="0.25">
      <c r="A736" s="3">
        <v>46086</v>
      </c>
      <c r="B736" s="5" t="s">
        <v>1306</v>
      </c>
      <c r="C736" s="5" t="s">
        <v>1306</v>
      </c>
      <c r="D736" s="5" t="s">
        <v>355</v>
      </c>
      <c r="E736" s="4" t="str">
        <f>"0097143205883"</f>
        <v>0097143205883</v>
      </c>
      <c r="F736" s="2" t="s">
        <v>12</v>
      </c>
      <c r="G736" s="2" t="s">
        <v>13</v>
      </c>
      <c r="H736" t="s">
        <v>14</v>
      </c>
      <c r="I736" s="1">
        <v>46086</v>
      </c>
      <c r="J736" t="s">
        <v>1307</v>
      </c>
    </row>
    <row r="737" spans="1:10" x14ac:dyDescent="0.25">
      <c r="A737" s="3">
        <v>46086</v>
      </c>
      <c r="B737" s="5" t="s">
        <v>1306</v>
      </c>
      <c r="C737" s="5" t="s">
        <v>1306</v>
      </c>
      <c r="D737" s="5" t="s">
        <v>355</v>
      </c>
      <c r="E737" s="4" t="str">
        <f>"00971566531561"</f>
        <v>00971566531561</v>
      </c>
      <c r="F737" s="2" t="s">
        <v>12</v>
      </c>
      <c r="G737" s="2" t="s">
        <v>13</v>
      </c>
      <c r="H737" t="s">
        <v>14</v>
      </c>
      <c r="I737" s="1">
        <v>46086</v>
      </c>
      <c r="J737" t="s">
        <v>1308</v>
      </c>
    </row>
    <row r="738" spans="1:10" x14ac:dyDescent="0.25">
      <c r="A738" s="3">
        <v>46086</v>
      </c>
      <c r="B738" s="5" t="s">
        <v>1309</v>
      </c>
      <c r="C738" s="5" t="s">
        <v>1309</v>
      </c>
      <c r="D738" s="5" t="s">
        <v>355</v>
      </c>
      <c r="E738" s="4" t="str">
        <f>"0097145529766"</f>
        <v>0097145529766</v>
      </c>
      <c r="F738" s="2" t="s">
        <v>12</v>
      </c>
      <c r="G738" s="2" t="s">
        <v>13</v>
      </c>
      <c r="H738" t="s">
        <v>14</v>
      </c>
      <c r="I738" s="1">
        <v>46086</v>
      </c>
      <c r="J738" t="s">
        <v>1310</v>
      </c>
    </row>
    <row r="739" spans="1:10" x14ac:dyDescent="0.25">
      <c r="A739" s="3">
        <v>46086</v>
      </c>
      <c r="B739" s="5" t="s">
        <v>1311</v>
      </c>
      <c r="C739" s="5" t="s">
        <v>1311</v>
      </c>
      <c r="D739" s="5" t="s">
        <v>355</v>
      </c>
      <c r="E739" s="4" t="str">
        <f>"0097142672032"</f>
        <v>0097142672032</v>
      </c>
      <c r="F739" s="2" t="s">
        <v>12</v>
      </c>
      <c r="G739" s="2" t="s">
        <v>13</v>
      </c>
      <c r="H739" t="s">
        <v>14</v>
      </c>
      <c r="I739" s="1">
        <v>46086</v>
      </c>
      <c r="J739" t="s">
        <v>1312</v>
      </c>
    </row>
    <row r="740" spans="1:10" x14ac:dyDescent="0.25">
      <c r="A740" s="3">
        <v>46086</v>
      </c>
      <c r="B740" s="5" t="s">
        <v>1313</v>
      </c>
      <c r="C740" s="5" t="s">
        <v>1313</v>
      </c>
      <c r="D740" s="5" t="s">
        <v>355</v>
      </c>
      <c r="E740" s="4" t="str">
        <f>"0097142672996"</f>
        <v>0097142672996</v>
      </c>
      <c r="F740" s="2" t="s">
        <v>12</v>
      </c>
      <c r="G740" s="2" t="s">
        <v>13</v>
      </c>
      <c r="H740" t="s">
        <v>14</v>
      </c>
      <c r="I740" s="1">
        <v>46086</v>
      </c>
      <c r="J740" t="s">
        <v>1314</v>
      </c>
    </row>
    <row r="741" spans="1:10" x14ac:dyDescent="0.25">
      <c r="A741" s="3">
        <v>46086</v>
      </c>
      <c r="B741" s="5" t="s">
        <v>1313</v>
      </c>
      <c r="C741" s="5" t="s">
        <v>1313</v>
      </c>
      <c r="D741" s="5" t="s">
        <v>355</v>
      </c>
      <c r="E741" s="4" t="str">
        <f>"00971559683004"</f>
        <v>00971559683004</v>
      </c>
      <c r="F741" s="2" t="s">
        <v>12</v>
      </c>
      <c r="G741" s="2" t="s">
        <v>13</v>
      </c>
      <c r="H741" t="s">
        <v>14</v>
      </c>
      <c r="I741" s="1">
        <v>46086</v>
      </c>
      <c r="J741" t="s">
        <v>1315</v>
      </c>
    </row>
    <row r="742" spans="1:10" x14ac:dyDescent="0.25">
      <c r="A742" s="3">
        <v>46086</v>
      </c>
      <c r="B742" s="5" t="s">
        <v>1316</v>
      </c>
      <c r="C742" s="5" t="s">
        <v>1316</v>
      </c>
      <c r="D742" s="5" t="s">
        <v>355</v>
      </c>
      <c r="E742" s="4" t="str">
        <f>"0097142721201"</f>
        <v>0097142721201</v>
      </c>
      <c r="F742" s="2" t="s">
        <v>12</v>
      </c>
      <c r="G742" s="2" t="s">
        <v>13</v>
      </c>
      <c r="H742" t="s">
        <v>14</v>
      </c>
      <c r="I742" s="1">
        <v>46086</v>
      </c>
      <c r="J742" t="s">
        <v>1317</v>
      </c>
    </row>
    <row r="743" spans="1:10" x14ac:dyDescent="0.25">
      <c r="A743" s="3">
        <v>46086</v>
      </c>
      <c r="B743" s="5" t="s">
        <v>1318</v>
      </c>
      <c r="C743" s="5" t="s">
        <v>1318</v>
      </c>
      <c r="D743" s="5" t="s">
        <v>355</v>
      </c>
      <c r="E743" s="4" t="str">
        <f>"0097143807333"</f>
        <v>0097143807333</v>
      </c>
      <c r="F743" s="2" t="s">
        <v>12</v>
      </c>
      <c r="G743" s="2" t="s">
        <v>13</v>
      </c>
      <c r="H743" t="s">
        <v>14</v>
      </c>
      <c r="I743" s="1">
        <v>46086</v>
      </c>
      <c r="J743" t="s">
        <v>1319</v>
      </c>
    </row>
    <row r="744" spans="1:10" x14ac:dyDescent="0.25">
      <c r="A744" s="3">
        <v>46086</v>
      </c>
      <c r="B744" s="5" t="s">
        <v>1320</v>
      </c>
      <c r="C744" s="5" t="s">
        <v>1320</v>
      </c>
      <c r="D744" s="5" t="s">
        <v>355</v>
      </c>
      <c r="E744" s="4" t="str">
        <f>"0097142584606"</f>
        <v>0097142584606</v>
      </c>
      <c r="F744" s="2" t="s">
        <v>12</v>
      </c>
      <c r="G744" s="2" t="s">
        <v>13</v>
      </c>
      <c r="H744" t="s">
        <v>14</v>
      </c>
      <c r="I744" s="1">
        <v>46086</v>
      </c>
      <c r="J744" t="s">
        <v>1321</v>
      </c>
    </row>
    <row r="745" spans="1:10" x14ac:dyDescent="0.25">
      <c r="A745" s="3">
        <v>46086</v>
      </c>
      <c r="B745" s="5" t="s">
        <v>1322</v>
      </c>
      <c r="C745" s="5" t="s">
        <v>1322</v>
      </c>
      <c r="D745" s="5" t="s">
        <v>355</v>
      </c>
      <c r="E745" s="4" t="str">
        <f>"0097142660466"</f>
        <v>0097142660466</v>
      </c>
      <c r="F745" s="2" t="s">
        <v>12</v>
      </c>
      <c r="G745" s="2" t="s">
        <v>13</v>
      </c>
      <c r="H745" t="s">
        <v>14</v>
      </c>
      <c r="I745" s="1">
        <v>46086</v>
      </c>
      <c r="J745" t="s">
        <v>1323</v>
      </c>
    </row>
    <row r="746" spans="1:10" x14ac:dyDescent="0.25">
      <c r="A746" s="3">
        <v>46086</v>
      </c>
      <c r="B746" s="5" t="s">
        <v>1324</v>
      </c>
      <c r="C746" s="5" t="s">
        <v>1324</v>
      </c>
      <c r="D746" s="5" t="s">
        <v>355</v>
      </c>
      <c r="E746" s="4" t="str">
        <f>"0097142264775"</f>
        <v>0097142264775</v>
      </c>
      <c r="F746" s="2" t="s">
        <v>12</v>
      </c>
      <c r="G746" s="2" t="s">
        <v>13</v>
      </c>
      <c r="H746" t="s">
        <v>14</v>
      </c>
      <c r="I746" s="1">
        <v>46086</v>
      </c>
      <c r="J746" t="s">
        <v>1325</v>
      </c>
    </row>
    <row r="747" spans="1:10" x14ac:dyDescent="0.25">
      <c r="A747" s="3">
        <v>46086</v>
      </c>
      <c r="B747" s="5" t="s">
        <v>1326</v>
      </c>
      <c r="C747" s="5" t="s">
        <v>1326</v>
      </c>
      <c r="D747" s="5" t="s">
        <v>355</v>
      </c>
      <c r="E747" s="4" t="str">
        <f>"0097143527204"</f>
        <v>0097143527204</v>
      </c>
      <c r="F747" s="2" t="s">
        <v>12</v>
      </c>
      <c r="G747" s="2" t="s">
        <v>13</v>
      </c>
      <c r="H747" t="s">
        <v>14</v>
      </c>
      <c r="I747" s="1">
        <v>46086</v>
      </c>
      <c r="J747" t="s">
        <v>1327</v>
      </c>
    </row>
    <row r="748" spans="1:10" x14ac:dyDescent="0.25">
      <c r="A748" s="3">
        <v>46086</v>
      </c>
      <c r="B748" s="5" t="s">
        <v>1328</v>
      </c>
      <c r="C748" s="5" t="s">
        <v>1328</v>
      </c>
      <c r="D748" s="5" t="s">
        <v>355</v>
      </c>
      <c r="E748" s="4" t="str">
        <f>"0097143475244"</f>
        <v>0097143475244</v>
      </c>
      <c r="F748" s="2" t="s">
        <v>12</v>
      </c>
      <c r="G748" s="2" t="s">
        <v>13</v>
      </c>
      <c r="H748" t="s">
        <v>14</v>
      </c>
      <c r="I748" s="1">
        <v>46086</v>
      </c>
      <c r="J748" t="s">
        <v>1329</v>
      </c>
    </row>
    <row r="749" spans="1:10" x14ac:dyDescent="0.25">
      <c r="A749" s="3">
        <v>46086</v>
      </c>
      <c r="B749" s="5" t="s">
        <v>1330</v>
      </c>
      <c r="C749" s="5" t="s">
        <v>1330</v>
      </c>
      <c r="D749" s="5" t="s">
        <v>355</v>
      </c>
      <c r="E749" s="4" t="str">
        <f>"0097142525365"</f>
        <v>0097142525365</v>
      </c>
      <c r="F749" s="2" t="s">
        <v>12</v>
      </c>
      <c r="G749" s="2" t="s">
        <v>13</v>
      </c>
      <c r="H749" t="s">
        <v>14</v>
      </c>
      <c r="I749" s="1">
        <v>46086</v>
      </c>
      <c r="J749" t="s">
        <v>1331</v>
      </c>
    </row>
    <row r="750" spans="1:10" x14ac:dyDescent="0.25">
      <c r="A750" s="3">
        <v>46086</v>
      </c>
      <c r="B750" s="5" t="s">
        <v>1332</v>
      </c>
      <c r="C750" s="5" t="s">
        <v>1332</v>
      </c>
      <c r="D750" s="5" t="s">
        <v>355</v>
      </c>
      <c r="E750" s="4" t="str">
        <f>"0097142258436"</f>
        <v>0097142258436</v>
      </c>
      <c r="F750" s="2" t="s">
        <v>12</v>
      </c>
      <c r="G750" s="2" t="s">
        <v>13</v>
      </c>
      <c r="H750" t="s">
        <v>14</v>
      </c>
      <c r="I750" s="1">
        <v>46086</v>
      </c>
      <c r="J750" t="s">
        <v>1333</v>
      </c>
    </row>
    <row r="751" spans="1:10" x14ac:dyDescent="0.25">
      <c r="A751" s="3">
        <v>46086</v>
      </c>
      <c r="B751" s="5" t="s">
        <v>1334</v>
      </c>
      <c r="C751" s="5" t="s">
        <v>1334</v>
      </c>
      <c r="D751" s="5" t="s">
        <v>355</v>
      </c>
      <c r="E751" s="4" t="str">
        <f>"0097142821011"</f>
        <v>0097142821011</v>
      </c>
      <c r="F751" s="2" t="s">
        <v>12</v>
      </c>
      <c r="G751" s="2" t="s">
        <v>13</v>
      </c>
      <c r="H751" t="s">
        <v>14</v>
      </c>
      <c r="I751" s="1">
        <v>46086</v>
      </c>
      <c r="J751" t="s">
        <v>1335</v>
      </c>
    </row>
    <row r="752" spans="1:10" x14ac:dyDescent="0.25">
      <c r="A752" s="3">
        <v>46086</v>
      </c>
      <c r="B752" s="5" t="s">
        <v>1336</v>
      </c>
      <c r="C752" s="5" t="s">
        <v>1336</v>
      </c>
      <c r="D752" s="5" t="s">
        <v>355</v>
      </c>
      <c r="E752" s="4" t="str">
        <f>"0097142340252"</f>
        <v>0097142340252</v>
      </c>
      <c r="F752" s="2" t="s">
        <v>12</v>
      </c>
      <c r="G752" s="2" t="s">
        <v>13</v>
      </c>
      <c r="H752" t="s">
        <v>14</v>
      </c>
      <c r="I752" s="1">
        <v>46086</v>
      </c>
      <c r="J752" t="s">
        <v>1337</v>
      </c>
    </row>
    <row r="753" spans="1:10" x14ac:dyDescent="0.25">
      <c r="A753" s="3">
        <v>46086</v>
      </c>
      <c r="B753" s="5" t="s">
        <v>1336</v>
      </c>
      <c r="C753" s="5" t="s">
        <v>1336</v>
      </c>
      <c r="D753" s="5" t="s">
        <v>355</v>
      </c>
      <c r="E753" s="4" t="str">
        <f>"00971585923052"</f>
        <v>00971585923052</v>
      </c>
      <c r="F753" s="2" t="s">
        <v>12</v>
      </c>
      <c r="G753" s="2" t="s">
        <v>13</v>
      </c>
      <c r="H753" t="s">
        <v>14</v>
      </c>
      <c r="I753" s="1">
        <v>46086</v>
      </c>
      <c r="J753" t="s">
        <v>1338</v>
      </c>
    </row>
    <row r="754" spans="1:10" x14ac:dyDescent="0.25">
      <c r="A754" s="3">
        <v>46086</v>
      </c>
      <c r="B754" s="5" t="s">
        <v>1339</v>
      </c>
      <c r="C754" s="5" t="s">
        <v>1339</v>
      </c>
      <c r="D754" s="5" t="s">
        <v>355</v>
      </c>
      <c r="E754" s="4" t="str">
        <f>"0097142340252"</f>
        <v>0097142340252</v>
      </c>
      <c r="F754" s="2" t="s">
        <v>12</v>
      </c>
      <c r="G754" s="2" t="s">
        <v>13</v>
      </c>
      <c r="H754" t="s">
        <v>14</v>
      </c>
      <c r="I754" s="1">
        <v>46086</v>
      </c>
      <c r="J754" t="s">
        <v>1340</v>
      </c>
    </row>
    <row r="755" spans="1:10" x14ac:dyDescent="0.25">
      <c r="A755" s="3">
        <v>46086</v>
      </c>
      <c r="B755" s="5" t="s">
        <v>1339</v>
      </c>
      <c r="C755" s="5" t="s">
        <v>1339</v>
      </c>
      <c r="D755" s="5" t="s">
        <v>355</v>
      </c>
      <c r="E755" s="4" t="str">
        <f>"00971585923052"</f>
        <v>00971585923052</v>
      </c>
      <c r="F755" s="2" t="s">
        <v>12</v>
      </c>
      <c r="G755" s="2" t="s">
        <v>13</v>
      </c>
      <c r="H755" t="s">
        <v>14</v>
      </c>
      <c r="I755" s="1">
        <v>46086</v>
      </c>
      <c r="J755" t="s">
        <v>1341</v>
      </c>
    </row>
    <row r="756" spans="1:10" x14ac:dyDescent="0.25">
      <c r="A756" s="3">
        <v>46086</v>
      </c>
      <c r="B756" s="5" t="s">
        <v>1342</v>
      </c>
      <c r="C756" s="5" t="s">
        <v>1342</v>
      </c>
      <c r="D756" s="5" t="s">
        <v>355</v>
      </c>
      <c r="E756" s="4" t="str">
        <f>"0097142295580"</f>
        <v>0097142295580</v>
      </c>
      <c r="F756" s="2" t="s">
        <v>12</v>
      </c>
      <c r="G756" s="2" t="s">
        <v>13</v>
      </c>
      <c r="H756" t="s">
        <v>14</v>
      </c>
      <c r="I756" s="1">
        <v>46086</v>
      </c>
      <c r="J756" t="s">
        <v>1343</v>
      </c>
    </row>
    <row r="757" spans="1:10" x14ac:dyDescent="0.25">
      <c r="A757" s="3">
        <v>46086</v>
      </c>
      <c r="B757" s="5" t="s">
        <v>1344</v>
      </c>
      <c r="C757" s="5" t="s">
        <v>1344</v>
      </c>
      <c r="D757" s="5" t="s">
        <v>355</v>
      </c>
      <c r="E757" s="4" t="str">
        <f>"0097142350402"</f>
        <v>0097142350402</v>
      </c>
      <c r="F757" s="2" t="s">
        <v>12</v>
      </c>
      <c r="G757" s="2" t="s">
        <v>13</v>
      </c>
      <c r="H757" t="s">
        <v>14</v>
      </c>
      <c r="I757" s="1">
        <v>46086</v>
      </c>
      <c r="J757" t="s">
        <v>1345</v>
      </c>
    </row>
    <row r="758" spans="1:10" x14ac:dyDescent="0.25">
      <c r="A758" s="3">
        <v>46086</v>
      </c>
      <c r="B758" s="5" t="s">
        <v>1346</v>
      </c>
      <c r="C758" s="5" t="s">
        <v>1346</v>
      </c>
      <c r="D758" s="5" t="s">
        <v>355</v>
      </c>
      <c r="E758" s="4" t="str">
        <f>"0097142257108"</f>
        <v>0097142257108</v>
      </c>
      <c r="F758" s="2" t="s">
        <v>12</v>
      </c>
      <c r="G758" s="2" t="s">
        <v>13</v>
      </c>
      <c r="H758" t="s">
        <v>14</v>
      </c>
      <c r="I758" s="1">
        <v>46086</v>
      </c>
      <c r="J758" t="s">
        <v>1347</v>
      </c>
    </row>
    <row r="759" spans="1:10" x14ac:dyDescent="0.25">
      <c r="A759" s="3">
        <v>46086</v>
      </c>
      <c r="B759" s="5" t="s">
        <v>1348</v>
      </c>
      <c r="C759" s="5" t="s">
        <v>1348</v>
      </c>
      <c r="D759" s="5" t="s">
        <v>355</v>
      </c>
      <c r="E759" s="4" t="str">
        <f>"0097142253642"</f>
        <v>0097142253642</v>
      </c>
      <c r="F759" s="2" t="s">
        <v>12</v>
      </c>
      <c r="G759" s="2" t="s">
        <v>13</v>
      </c>
      <c r="H759" t="s">
        <v>14</v>
      </c>
      <c r="I759" s="1">
        <v>46086</v>
      </c>
      <c r="J759" t="s">
        <v>1349</v>
      </c>
    </row>
    <row r="760" spans="1:10" x14ac:dyDescent="0.25">
      <c r="A760" s="3">
        <v>46086</v>
      </c>
      <c r="B760" s="5" t="s">
        <v>1350</v>
      </c>
      <c r="C760" s="5" t="s">
        <v>1350</v>
      </c>
      <c r="D760" s="5" t="s">
        <v>355</v>
      </c>
      <c r="E760" s="4" t="str">
        <f>"0097142260065"</f>
        <v>0097142260065</v>
      </c>
      <c r="F760" s="2" t="s">
        <v>12</v>
      </c>
      <c r="G760" s="2" t="s">
        <v>13</v>
      </c>
      <c r="H760" t="s">
        <v>14</v>
      </c>
      <c r="I760" s="1">
        <v>46086</v>
      </c>
      <c r="J760" t="s">
        <v>1351</v>
      </c>
    </row>
    <row r="761" spans="1:10" x14ac:dyDescent="0.25">
      <c r="A761" s="3">
        <v>46086</v>
      </c>
      <c r="B761" s="5" t="s">
        <v>1352</v>
      </c>
      <c r="C761" s="5" t="s">
        <v>1352</v>
      </c>
      <c r="D761" s="5" t="s">
        <v>355</v>
      </c>
      <c r="E761" s="4" t="str">
        <f>"0097143514426"</f>
        <v>0097143514426</v>
      </c>
      <c r="F761" s="2" t="s">
        <v>12</v>
      </c>
      <c r="G761" s="2" t="s">
        <v>13</v>
      </c>
      <c r="H761" t="s">
        <v>14</v>
      </c>
      <c r="I761" s="1">
        <v>46086</v>
      </c>
      <c r="J761" t="s">
        <v>1353</v>
      </c>
    </row>
    <row r="762" spans="1:10" x14ac:dyDescent="0.25">
      <c r="A762" s="3">
        <v>46086</v>
      </c>
      <c r="B762" s="5" t="s">
        <v>1354</v>
      </c>
      <c r="C762" s="5" t="s">
        <v>1354</v>
      </c>
      <c r="D762" s="5" t="s">
        <v>355</v>
      </c>
      <c r="E762" s="4" t="str">
        <f>"0097143537367"</f>
        <v>0097143537367</v>
      </c>
      <c r="F762" s="2" t="s">
        <v>12</v>
      </c>
      <c r="G762" s="2" t="s">
        <v>13</v>
      </c>
      <c r="H762" t="s">
        <v>14</v>
      </c>
      <c r="I762" s="1">
        <v>46086</v>
      </c>
      <c r="J762" t="s">
        <v>1355</v>
      </c>
    </row>
    <row r="763" spans="1:10" x14ac:dyDescent="0.25">
      <c r="A763" s="3">
        <v>46086</v>
      </c>
      <c r="B763" s="5" t="s">
        <v>1356</v>
      </c>
      <c r="C763" s="5" t="s">
        <v>1356</v>
      </c>
      <c r="D763" s="5" t="s">
        <v>355</v>
      </c>
      <c r="E763" s="4" t="str">
        <f>"0097143356783"</f>
        <v>0097143356783</v>
      </c>
      <c r="F763" s="2" t="s">
        <v>12</v>
      </c>
      <c r="G763" s="2" t="s">
        <v>13</v>
      </c>
      <c r="H763" t="s">
        <v>14</v>
      </c>
      <c r="I763" s="1">
        <v>46086</v>
      </c>
      <c r="J763" t="s">
        <v>1357</v>
      </c>
    </row>
    <row r="764" spans="1:10" x14ac:dyDescent="0.25">
      <c r="A764" s="3">
        <v>46086</v>
      </c>
      <c r="B764" s="5" t="s">
        <v>1356</v>
      </c>
      <c r="C764" s="5" t="s">
        <v>1356</v>
      </c>
      <c r="D764" s="5" t="s">
        <v>355</v>
      </c>
      <c r="E764" s="4" t="str">
        <f>"00971555102497"</f>
        <v>00971555102497</v>
      </c>
      <c r="F764" s="2" t="s">
        <v>12</v>
      </c>
      <c r="G764" s="2" t="s">
        <v>13</v>
      </c>
      <c r="H764" t="s">
        <v>14</v>
      </c>
      <c r="I764" s="1">
        <v>46086</v>
      </c>
      <c r="J764" t="s">
        <v>1358</v>
      </c>
    </row>
    <row r="765" spans="1:10" x14ac:dyDescent="0.25">
      <c r="A765" s="3">
        <v>46086</v>
      </c>
      <c r="B765" s="5" t="s">
        <v>1359</v>
      </c>
      <c r="C765" s="5" t="s">
        <v>1359</v>
      </c>
      <c r="D765" s="5" t="s">
        <v>355</v>
      </c>
      <c r="E765" s="4" t="str">
        <f>"0097142720733"</f>
        <v>0097142720733</v>
      </c>
      <c r="F765" s="2" t="s">
        <v>12</v>
      </c>
      <c r="G765" s="2" t="s">
        <v>13</v>
      </c>
      <c r="H765" t="s">
        <v>14</v>
      </c>
      <c r="I765" s="1">
        <v>46086</v>
      </c>
      <c r="J765" t="s">
        <v>1360</v>
      </c>
    </row>
    <row r="766" spans="1:10" x14ac:dyDescent="0.25">
      <c r="A766" s="3">
        <v>46086</v>
      </c>
      <c r="B766" s="5" t="s">
        <v>1359</v>
      </c>
      <c r="C766" s="5" t="s">
        <v>1359</v>
      </c>
      <c r="D766" s="5" t="s">
        <v>355</v>
      </c>
      <c r="E766" s="4" t="str">
        <f>"00971568420071"</f>
        <v>00971568420071</v>
      </c>
      <c r="F766" s="2" t="s">
        <v>12</v>
      </c>
      <c r="G766" s="2" t="s">
        <v>13</v>
      </c>
      <c r="H766" t="s">
        <v>14</v>
      </c>
      <c r="I766" s="1">
        <v>46086</v>
      </c>
      <c r="J766" t="s">
        <v>1361</v>
      </c>
    </row>
    <row r="767" spans="1:10" x14ac:dyDescent="0.25">
      <c r="A767" s="3">
        <v>46086</v>
      </c>
      <c r="B767" s="5" t="s">
        <v>1362</v>
      </c>
      <c r="C767" s="5" t="s">
        <v>1362</v>
      </c>
      <c r="D767" s="5" t="s">
        <v>355</v>
      </c>
      <c r="E767" s="4" t="str">
        <f>"0097142279795"</f>
        <v>0097142279795</v>
      </c>
      <c r="F767" s="2" t="s">
        <v>12</v>
      </c>
      <c r="G767" s="2" t="s">
        <v>13</v>
      </c>
      <c r="H767" t="s">
        <v>14</v>
      </c>
      <c r="I767" s="1">
        <v>46086</v>
      </c>
      <c r="J767" t="s">
        <v>1363</v>
      </c>
    </row>
    <row r="768" spans="1:10" x14ac:dyDescent="0.25">
      <c r="A768" s="3">
        <v>46086</v>
      </c>
      <c r="B768" s="5" t="s">
        <v>1364</v>
      </c>
      <c r="C768" s="5" t="s">
        <v>1364</v>
      </c>
      <c r="D768" s="5" t="s">
        <v>355</v>
      </c>
      <c r="E768" s="4" t="str">
        <f>"0097142854964"</f>
        <v>0097142854964</v>
      </c>
      <c r="F768" s="2" t="s">
        <v>12</v>
      </c>
      <c r="G768" s="2" t="s">
        <v>13</v>
      </c>
      <c r="H768" t="s">
        <v>14</v>
      </c>
      <c r="I768" s="1">
        <v>46086</v>
      </c>
      <c r="J768" t="s">
        <v>1365</v>
      </c>
    </row>
    <row r="769" spans="1:10" x14ac:dyDescent="0.25">
      <c r="A769" s="3">
        <v>46086</v>
      </c>
      <c r="B769" s="5" t="s">
        <v>1366</v>
      </c>
      <c r="C769" s="5" t="s">
        <v>1366</v>
      </c>
      <c r="D769" s="5" t="s">
        <v>355</v>
      </c>
      <c r="E769" s="4" t="str">
        <f>"0097142257206"</f>
        <v>0097142257206</v>
      </c>
      <c r="F769" s="2" t="s">
        <v>12</v>
      </c>
      <c r="G769" s="2" t="s">
        <v>13</v>
      </c>
      <c r="H769" t="s">
        <v>14</v>
      </c>
      <c r="I769" s="1">
        <v>46086</v>
      </c>
      <c r="J769" t="s">
        <v>1367</v>
      </c>
    </row>
    <row r="770" spans="1:10" x14ac:dyDescent="0.25">
      <c r="A770" s="3">
        <v>46086</v>
      </c>
      <c r="B770" s="5" t="s">
        <v>1368</v>
      </c>
      <c r="C770" s="5" t="s">
        <v>1368</v>
      </c>
      <c r="D770" s="5" t="s">
        <v>355</v>
      </c>
      <c r="E770" s="4" t="str">
        <f>"0097142264380"</f>
        <v>0097142264380</v>
      </c>
      <c r="F770" s="2" t="s">
        <v>12</v>
      </c>
      <c r="G770" s="2" t="s">
        <v>13</v>
      </c>
      <c r="H770" t="s">
        <v>14</v>
      </c>
      <c r="I770" s="1">
        <v>46086</v>
      </c>
      <c r="J770" t="s">
        <v>1369</v>
      </c>
    </row>
    <row r="771" spans="1:10" x14ac:dyDescent="0.25">
      <c r="A771" s="3">
        <v>46086</v>
      </c>
      <c r="B771" s="5" t="s">
        <v>1370</v>
      </c>
      <c r="C771" s="5" t="s">
        <v>1370</v>
      </c>
      <c r="D771" s="5" t="s">
        <v>355</v>
      </c>
      <c r="E771" s="4" t="str">
        <f>"0097142718918"</f>
        <v>0097142718918</v>
      </c>
      <c r="F771" s="2" t="s">
        <v>12</v>
      </c>
      <c r="G771" s="2" t="s">
        <v>13</v>
      </c>
      <c r="H771" t="s">
        <v>14</v>
      </c>
      <c r="I771" s="1">
        <v>46086</v>
      </c>
      <c r="J771" t="s">
        <v>1371</v>
      </c>
    </row>
    <row r="772" spans="1:10" x14ac:dyDescent="0.25">
      <c r="A772" s="3">
        <v>46086</v>
      </c>
      <c r="B772" s="5" t="s">
        <v>1372</v>
      </c>
      <c r="C772" s="5" t="s">
        <v>1372</v>
      </c>
      <c r="D772" s="5" t="s">
        <v>355</v>
      </c>
      <c r="E772" s="4" t="str">
        <f>"0097142265461"</f>
        <v>0097142265461</v>
      </c>
      <c r="F772" s="2" t="s">
        <v>12</v>
      </c>
      <c r="G772" s="2" t="s">
        <v>13</v>
      </c>
      <c r="H772" t="s">
        <v>14</v>
      </c>
      <c r="I772" s="1">
        <v>46086</v>
      </c>
      <c r="J772" t="s">
        <v>1373</v>
      </c>
    </row>
    <row r="773" spans="1:10" x14ac:dyDescent="0.25">
      <c r="A773" s="3">
        <v>46086</v>
      </c>
      <c r="B773" s="5" t="s">
        <v>1374</v>
      </c>
      <c r="C773" s="5" t="s">
        <v>1374</v>
      </c>
      <c r="D773" s="5" t="s">
        <v>355</v>
      </c>
      <c r="E773" s="4" t="str">
        <f>"0097142821414"</f>
        <v>0097142821414</v>
      </c>
      <c r="F773" s="2" t="s">
        <v>12</v>
      </c>
      <c r="G773" s="2" t="s">
        <v>13</v>
      </c>
      <c r="H773" t="s">
        <v>14</v>
      </c>
      <c r="I773" s="1">
        <v>46086</v>
      </c>
      <c r="J773" t="s">
        <v>1375</v>
      </c>
    </row>
    <row r="774" spans="1:10" x14ac:dyDescent="0.25">
      <c r="A774" s="3">
        <v>46086</v>
      </c>
      <c r="B774" s="5" t="s">
        <v>1376</v>
      </c>
      <c r="C774" s="5" t="s">
        <v>1376</v>
      </c>
      <c r="D774" s="5" t="s">
        <v>355</v>
      </c>
      <c r="E774" s="4" t="str">
        <f>"0097142263592"</f>
        <v>0097142263592</v>
      </c>
      <c r="F774" s="2" t="s">
        <v>12</v>
      </c>
      <c r="G774" s="2" t="s">
        <v>13</v>
      </c>
      <c r="H774" t="s">
        <v>14</v>
      </c>
      <c r="I774" s="1">
        <v>46086</v>
      </c>
      <c r="J774" t="s">
        <v>1377</v>
      </c>
    </row>
    <row r="775" spans="1:10" x14ac:dyDescent="0.25">
      <c r="A775" s="3">
        <v>46086</v>
      </c>
      <c r="B775" s="5" t="s">
        <v>1376</v>
      </c>
      <c r="C775" s="5" t="s">
        <v>1376</v>
      </c>
      <c r="D775" s="5" t="s">
        <v>355</v>
      </c>
      <c r="E775" s="4" t="str">
        <f>"00971506457361"</f>
        <v>00971506457361</v>
      </c>
      <c r="F775" s="2" t="s">
        <v>12</v>
      </c>
      <c r="G775" s="2" t="s">
        <v>13</v>
      </c>
      <c r="H775" t="s">
        <v>14</v>
      </c>
      <c r="I775" s="1">
        <v>46086</v>
      </c>
      <c r="J775" t="s">
        <v>1378</v>
      </c>
    </row>
    <row r="776" spans="1:10" x14ac:dyDescent="0.25">
      <c r="A776" s="3">
        <v>46086</v>
      </c>
      <c r="B776" s="5" t="s">
        <v>1379</v>
      </c>
      <c r="C776" s="5" t="s">
        <v>1379</v>
      </c>
      <c r="D776" s="5" t="s">
        <v>355</v>
      </c>
      <c r="E776" s="4" t="str">
        <f>"0097142235455"</f>
        <v>0097142235455</v>
      </c>
      <c r="F776" s="2" t="s">
        <v>12</v>
      </c>
      <c r="G776" s="2" t="s">
        <v>13</v>
      </c>
      <c r="H776" t="s">
        <v>14</v>
      </c>
      <c r="I776" s="1">
        <v>46086</v>
      </c>
      <c r="J776" t="s">
        <v>1380</v>
      </c>
    </row>
    <row r="777" spans="1:10" x14ac:dyDescent="0.25">
      <c r="A777" s="3">
        <v>46086</v>
      </c>
      <c r="B777" s="5" t="s">
        <v>1381</v>
      </c>
      <c r="C777" s="5" t="s">
        <v>1381</v>
      </c>
      <c r="D777" s="5" t="s">
        <v>355</v>
      </c>
      <c r="E777" s="4" t="str">
        <f>"0097142252494"</f>
        <v>0097142252494</v>
      </c>
      <c r="F777" s="2" t="s">
        <v>12</v>
      </c>
      <c r="G777" s="2" t="s">
        <v>13</v>
      </c>
      <c r="H777" t="s">
        <v>14</v>
      </c>
      <c r="I777" s="1">
        <v>46086</v>
      </c>
      <c r="J777" t="s">
        <v>1382</v>
      </c>
    </row>
    <row r="778" spans="1:10" x14ac:dyDescent="0.25">
      <c r="A778" s="3">
        <v>46086</v>
      </c>
      <c r="B778" s="5" t="s">
        <v>1383</v>
      </c>
      <c r="C778" s="5" t="s">
        <v>1383</v>
      </c>
      <c r="D778" s="5" t="s">
        <v>355</v>
      </c>
      <c r="E778" s="4" t="str">
        <f>"0097142225834"</f>
        <v>0097142225834</v>
      </c>
      <c r="F778" s="2" t="s">
        <v>12</v>
      </c>
      <c r="G778" s="2" t="s">
        <v>13</v>
      </c>
      <c r="H778" t="s">
        <v>14</v>
      </c>
      <c r="I778" s="1">
        <v>46086</v>
      </c>
      <c r="J778" t="s">
        <v>1384</v>
      </c>
    </row>
    <row r="779" spans="1:10" x14ac:dyDescent="0.25">
      <c r="A779" s="3">
        <v>46086</v>
      </c>
      <c r="B779" s="5" t="s">
        <v>1385</v>
      </c>
      <c r="C779" s="5" t="s">
        <v>1385</v>
      </c>
      <c r="D779" s="5" t="s">
        <v>355</v>
      </c>
      <c r="E779" s="4" t="str">
        <f>"0097142264362"</f>
        <v>0097142264362</v>
      </c>
      <c r="F779" s="2" t="s">
        <v>12</v>
      </c>
      <c r="G779" s="2" t="s">
        <v>13</v>
      </c>
      <c r="H779" t="s">
        <v>14</v>
      </c>
      <c r="I779" s="1">
        <v>46086</v>
      </c>
      <c r="J779" t="s">
        <v>1386</v>
      </c>
    </row>
    <row r="780" spans="1:10" x14ac:dyDescent="0.25">
      <c r="A780" s="3">
        <v>46086</v>
      </c>
      <c r="B780" s="5" t="s">
        <v>1387</v>
      </c>
      <c r="C780" s="5" t="s">
        <v>1387</v>
      </c>
      <c r="D780" s="5" t="s">
        <v>355</v>
      </c>
      <c r="E780" s="4" t="str">
        <f>"0097144328568"</f>
        <v>0097144328568</v>
      </c>
      <c r="F780" s="2" t="s">
        <v>12</v>
      </c>
      <c r="G780" s="2" t="s">
        <v>13</v>
      </c>
      <c r="H780" t="s">
        <v>14</v>
      </c>
      <c r="I780" s="1">
        <v>46086</v>
      </c>
      <c r="J780" t="s">
        <v>1388</v>
      </c>
    </row>
    <row r="781" spans="1:10" x14ac:dyDescent="0.25">
      <c r="A781" s="3">
        <v>46086</v>
      </c>
      <c r="B781" s="5" t="s">
        <v>1387</v>
      </c>
      <c r="C781" s="5" t="s">
        <v>1387</v>
      </c>
      <c r="D781" s="5" t="s">
        <v>355</v>
      </c>
      <c r="E781" s="4" t="str">
        <f>"00971507240360"</f>
        <v>00971507240360</v>
      </c>
      <c r="F781" s="2" t="s">
        <v>12</v>
      </c>
      <c r="G781" s="2" t="s">
        <v>13</v>
      </c>
      <c r="H781" t="s">
        <v>14</v>
      </c>
      <c r="I781" s="1">
        <v>46086</v>
      </c>
      <c r="J781" t="s">
        <v>1389</v>
      </c>
    </row>
    <row r="782" spans="1:10" x14ac:dyDescent="0.25">
      <c r="A782" s="3">
        <v>46086</v>
      </c>
      <c r="B782" s="5" t="s">
        <v>1390</v>
      </c>
      <c r="C782" s="5" t="s">
        <v>1390</v>
      </c>
      <c r="D782" s="5" t="s">
        <v>355</v>
      </c>
      <c r="E782" s="4" t="str">
        <f>"0097142851692"</f>
        <v>0097142851692</v>
      </c>
      <c r="F782" s="2" t="s">
        <v>12</v>
      </c>
      <c r="G782" s="2" t="s">
        <v>13</v>
      </c>
      <c r="H782" t="s">
        <v>14</v>
      </c>
      <c r="I782" s="1">
        <v>46086</v>
      </c>
      <c r="J782" t="s">
        <v>1391</v>
      </c>
    </row>
    <row r="783" spans="1:10" x14ac:dyDescent="0.25">
      <c r="A783" s="3">
        <v>46086</v>
      </c>
      <c r="B783" s="5" t="s">
        <v>1390</v>
      </c>
      <c r="C783" s="5" t="s">
        <v>1390</v>
      </c>
      <c r="D783" s="5" t="s">
        <v>355</v>
      </c>
      <c r="E783" s="4" t="str">
        <f>"00971559136639"</f>
        <v>00971559136639</v>
      </c>
      <c r="F783" s="2" t="s">
        <v>12</v>
      </c>
      <c r="G783" s="2" t="s">
        <v>13</v>
      </c>
      <c r="H783" t="s">
        <v>14</v>
      </c>
      <c r="I783" s="1">
        <v>46086</v>
      </c>
      <c r="J783" t="s">
        <v>1392</v>
      </c>
    </row>
    <row r="784" spans="1:10" x14ac:dyDescent="0.25">
      <c r="A784" s="3">
        <v>46086</v>
      </c>
      <c r="B784" s="5" t="s">
        <v>1393</v>
      </c>
      <c r="C784" s="5" t="s">
        <v>1393</v>
      </c>
      <c r="D784" s="5" t="s">
        <v>355</v>
      </c>
      <c r="E784" s="4" t="str">
        <f>"0097142264716"</f>
        <v>0097142264716</v>
      </c>
      <c r="F784" s="2" t="s">
        <v>12</v>
      </c>
      <c r="G784" s="2" t="s">
        <v>13</v>
      </c>
      <c r="H784" t="s">
        <v>14</v>
      </c>
      <c r="I784" s="1">
        <v>46086</v>
      </c>
      <c r="J784" t="s">
        <v>1394</v>
      </c>
    </row>
    <row r="785" spans="1:10" x14ac:dyDescent="0.25">
      <c r="A785" s="3">
        <v>46086</v>
      </c>
      <c r="B785" s="5" t="s">
        <v>1395</v>
      </c>
      <c r="C785" s="5" t="s">
        <v>1395</v>
      </c>
      <c r="D785" s="5" t="s">
        <v>355</v>
      </c>
      <c r="E785" s="4" t="str">
        <f>"0097142266743"</f>
        <v>0097142266743</v>
      </c>
      <c r="F785" s="2" t="s">
        <v>12</v>
      </c>
      <c r="G785" s="2" t="s">
        <v>13</v>
      </c>
      <c r="H785" t="s">
        <v>14</v>
      </c>
      <c r="I785" s="1">
        <v>46086</v>
      </c>
      <c r="J785" t="s">
        <v>1396</v>
      </c>
    </row>
    <row r="786" spans="1:10" x14ac:dyDescent="0.25">
      <c r="A786" s="3">
        <v>46086</v>
      </c>
      <c r="B786" s="5" t="s">
        <v>1397</v>
      </c>
      <c r="C786" s="5" t="s">
        <v>1397</v>
      </c>
      <c r="D786" s="5" t="s">
        <v>355</v>
      </c>
      <c r="E786" s="4" t="str">
        <f>"0097143533225"</f>
        <v>0097143533225</v>
      </c>
      <c r="F786" s="2" t="s">
        <v>12</v>
      </c>
      <c r="G786" s="2" t="s">
        <v>13</v>
      </c>
      <c r="H786" t="s">
        <v>14</v>
      </c>
      <c r="I786" s="1">
        <v>46086</v>
      </c>
      <c r="J786" t="s">
        <v>1398</v>
      </c>
    </row>
    <row r="787" spans="1:10" x14ac:dyDescent="0.25">
      <c r="A787" s="3">
        <v>46086</v>
      </c>
      <c r="B787" s="5" t="s">
        <v>1399</v>
      </c>
      <c r="C787" s="5" t="s">
        <v>1399</v>
      </c>
      <c r="D787" s="5" t="s">
        <v>355</v>
      </c>
      <c r="E787" s="4" t="str">
        <f>"0097142263902"</f>
        <v>0097142263902</v>
      </c>
      <c r="F787" s="2" t="s">
        <v>12</v>
      </c>
      <c r="G787" s="2" t="s">
        <v>13</v>
      </c>
      <c r="H787" t="s">
        <v>14</v>
      </c>
      <c r="I787" s="1">
        <v>46086</v>
      </c>
      <c r="J787" t="s">
        <v>1400</v>
      </c>
    </row>
    <row r="788" spans="1:10" x14ac:dyDescent="0.25">
      <c r="A788" s="3">
        <v>46086</v>
      </c>
      <c r="B788" s="5" t="s">
        <v>1401</v>
      </c>
      <c r="C788" s="5" t="s">
        <v>1401</v>
      </c>
      <c r="D788" s="5" t="s">
        <v>355</v>
      </c>
      <c r="E788" s="4" t="str">
        <f>"0097142264955"</f>
        <v>0097142264955</v>
      </c>
      <c r="F788" s="2" t="s">
        <v>12</v>
      </c>
      <c r="G788" s="2" t="s">
        <v>13</v>
      </c>
      <c r="H788" t="s">
        <v>14</v>
      </c>
      <c r="I788" s="1">
        <v>46086</v>
      </c>
      <c r="J788" t="s">
        <v>1402</v>
      </c>
    </row>
    <row r="789" spans="1:10" x14ac:dyDescent="0.25">
      <c r="A789" s="3">
        <v>46086</v>
      </c>
      <c r="B789" s="5" t="s">
        <v>1403</v>
      </c>
      <c r="C789" s="5" t="s">
        <v>1403</v>
      </c>
      <c r="D789" s="5" t="s">
        <v>355</v>
      </c>
      <c r="E789" s="4" t="str">
        <f>"0097144472020"</f>
        <v>0097144472020</v>
      </c>
      <c r="F789" s="2" t="s">
        <v>12</v>
      </c>
      <c r="G789" s="2" t="s">
        <v>13</v>
      </c>
      <c r="H789" t="s">
        <v>14</v>
      </c>
      <c r="I789" s="1">
        <v>46086</v>
      </c>
      <c r="J789" t="s">
        <v>1404</v>
      </c>
    </row>
    <row r="790" spans="1:10" x14ac:dyDescent="0.25">
      <c r="A790" s="3">
        <v>46086</v>
      </c>
      <c r="B790" s="5" t="s">
        <v>1405</v>
      </c>
      <c r="C790" s="5" t="s">
        <v>1405</v>
      </c>
      <c r="D790" s="5" t="s">
        <v>355</v>
      </c>
      <c r="E790" s="4" t="str">
        <f>"0097142387055"</f>
        <v>0097142387055</v>
      </c>
      <c r="F790" s="2" t="s">
        <v>12</v>
      </c>
      <c r="G790" s="2" t="s">
        <v>13</v>
      </c>
      <c r="H790" t="s">
        <v>14</v>
      </c>
      <c r="I790" s="1">
        <v>46086</v>
      </c>
      <c r="J790" t="s">
        <v>1406</v>
      </c>
    </row>
    <row r="791" spans="1:10" x14ac:dyDescent="0.25">
      <c r="A791" s="3">
        <v>46086</v>
      </c>
      <c r="B791" s="5" t="s">
        <v>1407</v>
      </c>
      <c r="C791" s="5" t="s">
        <v>1407</v>
      </c>
      <c r="D791" s="5" t="s">
        <v>355</v>
      </c>
      <c r="E791" s="4" t="str">
        <f>"0097142678118"</f>
        <v>0097142678118</v>
      </c>
      <c r="F791" s="2" t="s">
        <v>12</v>
      </c>
      <c r="G791" s="2" t="s">
        <v>13</v>
      </c>
      <c r="H791" t="s">
        <v>14</v>
      </c>
      <c r="I791" s="1">
        <v>46086</v>
      </c>
      <c r="J791" t="s">
        <v>1408</v>
      </c>
    </row>
    <row r="792" spans="1:10" x14ac:dyDescent="0.25">
      <c r="A792" s="3">
        <v>46086</v>
      </c>
      <c r="B792" s="5" t="s">
        <v>1409</v>
      </c>
      <c r="C792" s="5" t="s">
        <v>1409</v>
      </c>
      <c r="D792" s="5" t="s">
        <v>355</v>
      </c>
      <c r="E792" s="4" t="str">
        <f>"0097143521444"</f>
        <v>0097143521444</v>
      </c>
      <c r="F792" s="2" t="s">
        <v>12</v>
      </c>
      <c r="G792" s="2" t="s">
        <v>13</v>
      </c>
      <c r="H792" t="s">
        <v>14</v>
      </c>
      <c r="I792" s="1">
        <v>46086</v>
      </c>
      <c r="J792" t="s">
        <v>1410</v>
      </c>
    </row>
    <row r="793" spans="1:10" x14ac:dyDescent="0.25">
      <c r="A793" s="3">
        <v>46086</v>
      </c>
      <c r="B793" s="5" t="s">
        <v>1411</v>
      </c>
      <c r="C793" s="5" t="s">
        <v>1411</v>
      </c>
      <c r="D793" s="5" t="s">
        <v>355</v>
      </c>
      <c r="E793" s="4" t="str">
        <f>"0097143939175"</f>
        <v>0097143939175</v>
      </c>
      <c r="F793" s="2" t="s">
        <v>12</v>
      </c>
      <c r="G793" s="2" t="s">
        <v>13</v>
      </c>
      <c r="H793" t="s">
        <v>14</v>
      </c>
      <c r="I793" s="1">
        <v>46086</v>
      </c>
      <c r="J793" t="s">
        <v>1412</v>
      </c>
    </row>
    <row r="794" spans="1:10" x14ac:dyDescent="0.25">
      <c r="A794" s="3">
        <v>46086</v>
      </c>
      <c r="B794" s="5" t="s">
        <v>1413</v>
      </c>
      <c r="C794" s="5" t="s">
        <v>1413</v>
      </c>
      <c r="D794" s="5" t="s">
        <v>355</v>
      </c>
      <c r="E794" s="4" t="str">
        <f>"0097142261916"</f>
        <v>0097142261916</v>
      </c>
      <c r="F794" s="2" t="s">
        <v>12</v>
      </c>
      <c r="G794" s="2" t="s">
        <v>13</v>
      </c>
      <c r="H794" t="s">
        <v>14</v>
      </c>
      <c r="I794" s="1">
        <v>46086</v>
      </c>
      <c r="J794" t="s">
        <v>1414</v>
      </c>
    </row>
    <row r="795" spans="1:10" x14ac:dyDescent="0.25">
      <c r="A795" s="3">
        <v>46086</v>
      </c>
      <c r="B795" s="5" t="s">
        <v>1415</v>
      </c>
      <c r="C795" s="5" t="s">
        <v>1415</v>
      </c>
      <c r="D795" s="5" t="s">
        <v>355</v>
      </c>
      <c r="E795" s="4" t="str">
        <f>"0097142264466"</f>
        <v>0097142264466</v>
      </c>
      <c r="F795" s="2" t="s">
        <v>12</v>
      </c>
      <c r="G795" s="2" t="s">
        <v>13</v>
      </c>
      <c r="H795" t="s">
        <v>14</v>
      </c>
      <c r="I795" s="1">
        <v>46086</v>
      </c>
      <c r="J795" t="s">
        <v>1416</v>
      </c>
    </row>
    <row r="796" spans="1:10" x14ac:dyDescent="0.25">
      <c r="A796" s="3">
        <v>46086</v>
      </c>
      <c r="B796" s="5" t="s">
        <v>1417</v>
      </c>
      <c r="C796" s="5" t="s">
        <v>1417</v>
      </c>
      <c r="D796" s="5" t="s">
        <v>355</v>
      </c>
      <c r="E796" s="4" t="str">
        <f>"0097142669563"</f>
        <v>0097142669563</v>
      </c>
      <c r="F796" s="2" t="s">
        <v>12</v>
      </c>
      <c r="G796" s="2" t="s">
        <v>13</v>
      </c>
      <c r="H796" t="s">
        <v>14</v>
      </c>
      <c r="I796" s="1">
        <v>46086</v>
      </c>
      <c r="J796" t="s">
        <v>1418</v>
      </c>
    </row>
    <row r="797" spans="1:10" x14ac:dyDescent="0.25">
      <c r="A797" s="3">
        <v>46086</v>
      </c>
      <c r="B797" s="5" t="s">
        <v>1419</v>
      </c>
      <c r="C797" s="5" t="s">
        <v>1419</v>
      </c>
      <c r="D797" s="5" t="s">
        <v>355</v>
      </c>
      <c r="E797" s="4" t="str">
        <f>"0097143440888"</f>
        <v>0097143440888</v>
      </c>
      <c r="F797" s="2" t="s">
        <v>12</v>
      </c>
      <c r="G797" s="2" t="s">
        <v>13</v>
      </c>
      <c r="H797" t="s">
        <v>14</v>
      </c>
      <c r="I797" s="1">
        <v>46086</v>
      </c>
      <c r="J797" t="s">
        <v>1420</v>
      </c>
    </row>
    <row r="798" spans="1:10" x14ac:dyDescent="0.25">
      <c r="A798" s="3">
        <v>46086</v>
      </c>
      <c r="B798" s="5" t="s">
        <v>1421</v>
      </c>
      <c r="C798" s="5" t="s">
        <v>1421</v>
      </c>
      <c r="D798" s="5" t="s">
        <v>355</v>
      </c>
      <c r="E798" s="4" t="str">
        <f>"0097142267446"</f>
        <v>0097142267446</v>
      </c>
      <c r="F798" s="2" t="s">
        <v>12</v>
      </c>
      <c r="G798" s="2" t="s">
        <v>13</v>
      </c>
      <c r="H798" t="s">
        <v>14</v>
      </c>
      <c r="I798" s="1">
        <v>46086</v>
      </c>
      <c r="J798" t="s">
        <v>1422</v>
      </c>
    </row>
    <row r="799" spans="1:10" x14ac:dyDescent="0.25">
      <c r="A799" s="3">
        <v>46086</v>
      </c>
      <c r="B799" s="5" t="s">
        <v>1423</v>
      </c>
      <c r="C799" s="5" t="s">
        <v>1423</v>
      </c>
      <c r="D799" s="5" t="s">
        <v>355</v>
      </c>
      <c r="E799" s="4" t="str">
        <f>"0097142250490"</f>
        <v>0097142250490</v>
      </c>
      <c r="F799" s="2" t="s">
        <v>12</v>
      </c>
      <c r="G799" s="2" t="s">
        <v>13</v>
      </c>
      <c r="H799" t="s">
        <v>14</v>
      </c>
      <c r="I799" s="1">
        <v>46086</v>
      </c>
      <c r="J799" t="s">
        <v>1424</v>
      </c>
    </row>
    <row r="800" spans="1:10" x14ac:dyDescent="0.25">
      <c r="A800" s="3">
        <v>46086</v>
      </c>
      <c r="B800" s="5" t="s">
        <v>1425</v>
      </c>
      <c r="C800" s="5" t="s">
        <v>1425</v>
      </c>
      <c r="D800" s="5" t="s">
        <v>355</v>
      </c>
      <c r="E800" s="4" t="str">
        <f>"0097142663616"</f>
        <v>0097142663616</v>
      </c>
      <c r="F800" s="2" t="s">
        <v>12</v>
      </c>
      <c r="G800" s="2" t="s">
        <v>13</v>
      </c>
      <c r="H800" t="s">
        <v>14</v>
      </c>
      <c r="I800" s="1">
        <v>46086</v>
      </c>
      <c r="J800" t="s">
        <v>1426</v>
      </c>
    </row>
    <row r="801" spans="1:10" x14ac:dyDescent="0.25">
      <c r="A801" s="3">
        <v>46086</v>
      </c>
      <c r="B801" s="5" t="s">
        <v>1427</v>
      </c>
      <c r="C801" s="5" t="s">
        <v>1427</v>
      </c>
      <c r="D801" s="5" t="s">
        <v>355</v>
      </c>
      <c r="E801" s="4" t="str">
        <f>"0097142250396"</f>
        <v>0097142250396</v>
      </c>
      <c r="F801" s="2" t="s">
        <v>12</v>
      </c>
      <c r="G801" s="2" t="s">
        <v>13</v>
      </c>
      <c r="H801" t="s">
        <v>14</v>
      </c>
      <c r="I801" s="1">
        <v>46086</v>
      </c>
      <c r="J801" t="s">
        <v>1428</v>
      </c>
    </row>
    <row r="802" spans="1:10" x14ac:dyDescent="0.25">
      <c r="A802" s="3">
        <v>46086</v>
      </c>
      <c r="B802" s="5" t="s">
        <v>1429</v>
      </c>
      <c r="C802" s="5" t="s">
        <v>1429</v>
      </c>
      <c r="D802" s="5" t="s">
        <v>355</v>
      </c>
      <c r="E802" s="4" t="str">
        <f>"0097142350762"</f>
        <v>0097142350762</v>
      </c>
      <c r="F802" s="2" t="s">
        <v>12</v>
      </c>
      <c r="G802" s="2" t="s">
        <v>13</v>
      </c>
      <c r="H802" t="s">
        <v>14</v>
      </c>
      <c r="I802" s="1">
        <v>46086</v>
      </c>
      <c r="J802" t="s">
        <v>1430</v>
      </c>
    </row>
    <row r="803" spans="1:10" x14ac:dyDescent="0.25">
      <c r="A803" s="3">
        <v>46086</v>
      </c>
      <c r="B803" s="5" t="s">
        <v>1431</v>
      </c>
      <c r="C803" s="5" t="s">
        <v>1431</v>
      </c>
      <c r="D803" s="5" t="s">
        <v>355</v>
      </c>
      <c r="E803" s="4" t="str">
        <f>"0097142290445"</f>
        <v>0097142290445</v>
      </c>
      <c r="F803" s="2" t="s">
        <v>12</v>
      </c>
      <c r="G803" s="2" t="s">
        <v>13</v>
      </c>
      <c r="H803" t="s">
        <v>14</v>
      </c>
      <c r="I803" s="1">
        <v>46086</v>
      </c>
      <c r="J803" t="s">
        <v>1432</v>
      </c>
    </row>
    <row r="804" spans="1:10" x14ac:dyDescent="0.25">
      <c r="A804" s="3">
        <v>46086</v>
      </c>
      <c r="B804" s="5" t="s">
        <v>1433</v>
      </c>
      <c r="C804" s="5" t="s">
        <v>1433</v>
      </c>
      <c r="D804" s="5" t="s">
        <v>355</v>
      </c>
      <c r="E804" s="4" t="str">
        <f>"0097142269005"</f>
        <v>0097142269005</v>
      </c>
      <c r="F804" s="2" t="s">
        <v>12</v>
      </c>
      <c r="G804" s="2" t="s">
        <v>13</v>
      </c>
      <c r="H804" t="s">
        <v>14</v>
      </c>
      <c r="I804" s="1">
        <v>46086</v>
      </c>
      <c r="J804" t="s">
        <v>1434</v>
      </c>
    </row>
    <row r="805" spans="1:10" x14ac:dyDescent="0.25">
      <c r="A805" s="3">
        <v>46086</v>
      </c>
      <c r="B805" s="5" t="s">
        <v>1435</v>
      </c>
      <c r="C805" s="5" t="s">
        <v>1435</v>
      </c>
      <c r="D805" s="5" t="s">
        <v>355</v>
      </c>
      <c r="E805" s="4" t="str">
        <f>"0097143204846"</f>
        <v>0097143204846</v>
      </c>
      <c r="F805" s="2" t="s">
        <v>12</v>
      </c>
      <c r="G805" s="2" t="s">
        <v>13</v>
      </c>
      <c r="H805" t="s">
        <v>14</v>
      </c>
      <c r="I805" s="1">
        <v>46086</v>
      </c>
      <c r="J805" t="s">
        <v>1436</v>
      </c>
    </row>
    <row r="806" spans="1:10" x14ac:dyDescent="0.25">
      <c r="A806" s="3">
        <v>46086</v>
      </c>
      <c r="B806" s="5" t="s">
        <v>323</v>
      </c>
      <c r="C806" s="5" t="s">
        <v>323</v>
      </c>
      <c r="D806" s="5" t="s">
        <v>355</v>
      </c>
      <c r="E806" s="4" t="str">
        <f>"0097142266700"</f>
        <v>0097142266700</v>
      </c>
      <c r="F806" s="2" t="s">
        <v>12</v>
      </c>
      <c r="G806" s="2" t="s">
        <v>13</v>
      </c>
      <c r="H806" t="s">
        <v>14</v>
      </c>
      <c r="I806" s="1">
        <v>46086</v>
      </c>
      <c r="J806" t="s">
        <v>1437</v>
      </c>
    </row>
    <row r="807" spans="1:10" x14ac:dyDescent="0.25">
      <c r="A807" s="3">
        <v>46086</v>
      </c>
      <c r="B807" s="5" t="s">
        <v>323</v>
      </c>
      <c r="C807" s="5" t="s">
        <v>323</v>
      </c>
      <c r="D807" s="5" t="s">
        <v>355</v>
      </c>
      <c r="E807" s="4" t="str">
        <f>"0097142269005"</f>
        <v>0097142269005</v>
      </c>
      <c r="F807" s="2" t="s">
        <v>12</v>
      </c>
      <c r="G807" s="2" t="s">
        <v>13</v>
      </c>
      <c r="H807" t="s">
        <v>14</v>
      </c>
      <c r="I807" s="1">
        <v>46086</v>
      </c>
      <c r="J807" t="s">
        <v>1438</v>
      </c>
    </row>
    <row r="808" spans="1:10" x14ac:dyDescent="0.25">
      <c r="A808" s="3">
        <v>46086</v>
      </c>
      <c r="B808" s="5" t="s">
        <v>323</v>
      </c>
      <c r="C808" s="5" t="s">
        <v>323</v>
      </c>
      <c r="D808" s="5" t="s">
        <v>355</v>
      </c>
      <c r="E808" s="4" t="str">
        <f>"00971561771010"</f>
        <v>00971561771010</v>
      </c>
      <c r="F808" s="2" t="s">
        <v>12</v>
      </c>
      <c r="G808" s="2" t="s">
        <v>13</v>
      </c>
      <c r="H808" t="s">
        <v>14</v>
      </c>
      <c r="I808" s="1">
        <v>46086</v>
      </c>
      <c r="J808" t="s">
        <v>1439</v>
      </c>
    </row>
    <row r="809" spans="1:10" x14ac:dyDescent="0.25">
      <c r="A809" s="3">
        <v>46086</v>
      </c>
      <c r="B809" s="5" t="s">
        <v>1440</v>
      </c>
      <c r="C809" s="5" t="s">
        <v>1440</v>
      </c>
      <c r="D809" s="5" t="s">
        <v>355</v>
      </c>
      <c r="E809" s="4" t="str">
        <f>"0097143330618"</f>
        <v>0097143330618</v>
      </c>
      <c r="F809" s="2" t="s">
        <v>12</v>
      </c>
      <c r="G809" s="2" t="s">
        <v>13</v>
      </c>
      <c r="H809" t="s">
        <v>14</v>
      </c>
      <c r="I809" s="1">
        <v>46086</v>
      </c>
      <c r="J809" t="s">
        <v>1441</v>
      </c>
    </row>
    <row r="810" spans="1:10" x14ac:dyDescent="0.25">
      <c r="A810" s="3">
        <v>46086</v>
      </c>
      <c r="B810" s="5" t="s">
        <v>1442</v>
      </c>
      <c r="C810" s="5" t="s">
        <v>1442</v>
      </c>
      <c r="D810" s="5" t="s">
        <v>355</v>
      </c>
      <c r="E810" s="4" t="str">
        <f>"0097142722254"</f>
        <v>0097142722254</v>
      </c>
      <c r="F810" s="2" t="s">
        <v>12</v>
      </c>
      <c r="G810" s="2" t="s">
        <v>13</v>
      </c>
      <c r="H810" t="s">
        <v>14</v>
      </c>
      <c r="I810" s="1">
        <v>46086</v>
      </c>
      <c r="J810" t="s">
        <v>1443</v>
      </c>
    </row>
    <row r="811" spans="1:10" x14ac:dyDescent="0.25">
      <c r="A811" s="3">
        <v>46086</v>
      </c>
      <c r="B811" s="5" t="s">
        <v>1444</v>
      </c>
      <c r="C811" s="5" t="s">
        <v>1444</v>
      </c>
      <c r="D811" s="5" t="s">
        <v>355</v>
      </c>
      <c r="E811" s="4" t="str">
        <f>"0097142678082"</f>
        <v>0097142678082</v>
      </c>
      <c r="F811" s="2" t="s">
        <v>12</v>
      </c>
      <c r="G811" s="2" t="s">
        <v>13</v>
      </c>
      <c r="H811" t="s">
        <v>14</v>
      </c>
      <c r="I811" s="1">
        <v>46086</v>
      </c>
      <c r="J811" t="s">
        <v>1445</v>
      </c>
    </row>
    <row r="812" spans="1:10" x14ac:dyDescent="0.25">
      <c r="A812" s="3">
        <v>46086</v>
      </c>
      <c r="B812" s="5" t="s">
        <v>1446</v>
      </c>
      <c r="C812" s="5" t="s">
        <v>1446</v>
      </c>
      <c r="D812" s="5" t="s">
        <v>355</v>
      </c>
      <c r="E812" s="4" t="str">
        <f>"0097142221741"</f>
        <v>0097142221741</v>
      </c>
      <c r="F812" s="2" t="s">
        <v>12</v>
      </c>
      <c r="G812" s="2" t="s">
        <v>13</v>
      </c>
      <c r="H812" t="s">
        <v>14</v>
      </c>
      <c r="I812" s="1">
        <v>46086</v>
      </c>
      <c r="J812" t="s">
        <v>1447</v>
      </c>
    </row>
    <row r="813" spans="1:10" x14ac:dyDescent="0.25">
      <c r="A813" s="3">
        <v>46086</v>
      </c>
      <c r="B813" s="5" t="s">
        <v>1448</v>
      </c>
      <c r="C813" s="5" t="s">
        <v>1448</v>
      </c>
      <c r="D813" s="5" t="s">
        <v>355</v>
      </c>
      <c r="E813" s="4" t="str">
        <f>"00971551457009"</f>
        <v>00971551457009</v>
      </c>
      <c r="F813" s="2" t="s">
        <v>12</v>
      </c>
      <c r="G813" s="2" t="s">
        <v>13</v>
      </c>
      <c r="H813" t="s">
        <v>14</v>
      </c>
      <c r="I813" s="1">
        <v>46086</v>
      </c>
      <c r="J813" t="s">
        <v>1449</v>
      </c>
    </row>
    <row r="814" spans="1:10" x14ac:dyDescent="0.25">
      <c r="A814" s="3">
        <v>46086</v>
      </c>
      <c r="B814" s="5" t="s">
        <v>1450</v>
      </c>
      <c r="C814" s="5" t="s">
        <v>1450</v>
      </c>
      <c r="D814" s="5" t="s">
        <v>355</v>
      </c>
      <c r="E814" s="4" t="str">
        <f>"0097142212002"</f>
        <v>0097142212002</v>
      </c>
      <c r="F814" s="2" t="s">
        <v>12</v>
      </c>
      <c r="G814" s="2" t="s">
        <v>13</v>
      </c>
      <c r="H814" t="s">
        <v>14</v>
      </c>
      <c r="I814" s="1">
        <v>46086</v>
      </c>
      <c r="J814" t="s">
        <v>1451</v>
      </c>
    </row>
    <row r="815" spans="1:10" x14ac:dyDescent="0.25">
      <c r="A815" s="3">
        <v>46086</v>
      </c>
      <c r="B815" s="5" t="s">
        <v>1452</v>
      </c>
      <c r="C815" s="5" t="s">
        <v>1452</v>
      </c>
      <c r="D815" s="5" t="s">
        <v>355</v>
      </c>
      <c r="E815" s="4" t="str">
        <f>"0097142951999"</f>
        <v>0097142951999</v>
      </c>
      <c r="F815" s="2" t="s">
        <v>12</v>
      </c>
      <c r="G815" s="2" t="s">
        <v>13</v>
      </c>
      <c r="H815" t="s">
        <v>14</v>
      </c>
      <c r="I815" s="1">
        <v>46086</v>
      </c>
      <c r="J815" t="s">
        <v>1453</v>
      </c>
    </row>
    <row r="816" spans="1:10" x14ac:dyDescent="0.25">
      <c r="A816" s="3">
        <v>46086</v>
      </c>
      <c r="B816" s="5" t="s">
        <v>1454</v>
      </c>
      <c r="C816" s="5" t="s">
        <v>1454</v>
      </c>
      <c r="D816" s="5" t="s">
        <v>355</v>
      </c>
      <c r="E816" s="4" t="str">
        <f>"0097143400926"</f>
        <v>0097143400926</v>
      </c>
      <c r="F816" s="2" t="s">
        <v>12</v>
      </c>
      <c r="G816" s="2" t="s">
        <v>13</v>
      </c>
      <c r="H816" t="s">
        <v>14</v>
      </c>
      <c r="I816" s="1">
        <v>46086</v>
      </c>
      <c r="J816" t="s">
        <v>1455</v>
      </c>
    </row>
    <row r="817" spans="1:10" x14ac:dyDescent="0.25">
      <c r="A817" s="3">
        <v>46086</v>
      </c>
      <c r="B817" s="5" t="s">
        <v>1456</v>
      </c>
      <c r="C817" s="5" t="s">
        <v>1456</v>
      </c>
      <c r="D817" s="5" t="s">
        <v>355</v>
      </c>
      <c r="E817" s="4" t="str">
        <f>"0097142267139"</f>
        <v>0097142267139</v>
      </c>
      <c r="F817" s="2" t="s">
        <v>12</v>
      </c>
      <c r="G817" s="2" t="s">
        <v>13</v>
      </c>
      <c r="H817" t="s">
        <v>14</v>
      </c>
      <c r="I817" s="1">
        <v>46086</v>
      </c>
      <c r="J817" t="s">
        <v>1457</v>
      </c>
    </row>
    <row r="818" spans="1:10" x14ac:dyDescent="0.25">
      <c r="A818" s="3">
        <v>46086</v>
      </c>
      <c r="B818" s="5" t="s">
        <v>1456</v>
      </c>
      <c r="C818" s="5" t="s">
        <v>1456</v>
      </c>
      <c r="D818" s="5" t="s">
        <v>355</v>
      </c>
      <c r="E818" s="4" t="str">
        <f>"00971506767573"</f>
        <v>00971506767573</v>
      </c>
      <c r="F818" s="2" t="s">
        <v>12</v>
      </c>
      <c r="G818" s="2" t="s">
        <v>13</v>
      </c>
      <c r="H818" t="s">
        <v>14</v>
      </c>
      <c r="I818" s="1">
        <v>46086</v>
      </c>
      <c r="J818" t="s">
        <v>1458</v>
      </c>
    </row>
    <row r="819" spans="1:10" x14ac:dyDescent="0.25">
      <c r="A819" s="3">
        <v>46086</v>
      </c>
      <c r="B819" s="5" t="s">
        <v>1459</v>
      </c>
      <c r="C819" s="5" t="s">
        <v>1459</v>
      </c>
      <c r="D819" s="5" t="s">
        <v>355</v>
      </c>
      <c r="E819" s="4" t="str">
        <f>"00971527666727"</f>
        <v>00971527666727</v>
      </c>
      <c r="F819" s="2" t="s">
        <v>12</v>
      </c>
      <c r="G819" s="2" t="s">
        <v>13</v>
      </c>
      <c r="H819" t="s">
        <v>14</v>
      </c>
      <c r="I819" s="1">
        <v>46086</v>
      </c>
      <c r="J819" t="s">
        <v>1460</v>
      </c>
    </row>
    <row r="820" spans="1:10" x14ac:dyDescent="0.25">
      <c r="A820" s="3">
        <v>46086</v>
      </c>
      <c r="B820" s="5" t="s">
        <v>1459</v>
      </c>
      <c r="C820" s="5" t="s">
        <v>1459</v>
      </c>
      <c r="D820" s="5" t="s">
        <v>355</v>
      </c>
      <c r="E820" s="4" t="str">
        <f>"00971582262302"</f>
        <v>00971582262302</v>
      </c>
      <c r="F820" s="2" t="s">
        <v>12</v>
      </c>
      <c r="G820" s="2" t="s">
        <v>13</v>
      </c>
      <c r="H820" t="s">
        <v>14</v>
      </c>
      <c r="I820" s="1">
        <v>46086</v>
      </c>
      <c r="J820" t="s">
        <v>1460</v>
      </c>
    </row>
    <row r="821" spans="1:10" x14ac:dyDescent="0.25">
      <c r="A821" s="3">
        <v>46086</v>
      </c>
      <c r="B821" s="5" t="s">
        <v>1461</v>
      </c>
      <c r="C821" s="5" t="s">
        <v>1461</v>
      </c>
      <c r="D821" s="5" t="s">
        <v>355</v>
      </c>
      <c r="E821" s="4" t="str">
        <f>"0097143535183"</f>
        <v>0097143535183</v>
      </c>
      <c r="F821" s="2" t="s">
        <v>12</v>
      </c>
      <c r="G821" s="2" t="s">
        <v>13</v>
      </c>
      <c r="H821" t="s">
        <v>14</v>
      </c>
      <c r="I821" s="1">
        <v>46086</v>
      </c>
      <c r="J821" t="s">
        <v>1462</v>
      </c>
    </row>
    <row r="822" spans="1:10" x14ac:dyDescent="0.25">
      <c r="A822" s="3">
        <v>46086</v>
      </c>
      <c r="B822" s="5" t="s">
        <v>349</v>
      </c>
      <c r="C822" s="5" t="s">
        <v>349</v>
      </c>
      <c r="D822" s="5" t="s">
        <v>355</v>
      </c>
      <c r="E822" s="4" t="str">
        <f>"0097142221936"</f>
        <v>0097142221936</v>
      </c>
      <c r="F822" s="2" t="s">
        <v>12</v>
      </c>
      <c r="G822" s="2" t="s">
        <v>13</v>
      </c>
      <c r="H822" t="s">
        <v>14</v>
      </c>
      <c r="I822" s="1">
        <v>46086</v>
      </c>
      <c r="J822" t="s">
        <v>1463</v>
      </c>
    </row>
    <row r="823" spans="1:10" x14ac:dyDescent="0.25">
      <c r="A823" s="3">
        <v>46086</v>
      </c>
      <c r="B823" s="5" t="s">
        <v>1464</v>
      </c>
      <c r="C823" s="5" t="s">
        <v>1464</v>
      </c>
      <c r="D823" s="5" t="s">
        <v>355</v>
      </c>
      <c r="E823" s="4" t="str">
        <f>"0097142269835"</f>
        <v>0097142269835</v>
      </c>
      <c r="F823" s="2" t="s">
        <v>12</v>
      </c>
      <c r="G823" s="2" t="s">
        <v>13</v>
      </c>
      <c r="H823" t="s">
        <v>14</v>
      </c>
      <c r="I823" s="1">
        <v>46086</v>
      </c>
      <c r="J823" t="s">
        <v>1465</v>
      </c>
    </row>
    <row r="824" spans="1:10" x14ac:dyDescent="0.25">
      <c r="A824" s="3">
        <v>46086</v>
      </c>
      <c r="B824" s="5" t="s">
        <v>1466</v>
      </c>
      <c r="C824" s="5" t="s">
        <v>1466</v>
      </c>
      <c r="D824" s="5" t="s">
        <v>355</v>
      </c>
      <c r="E824" s="4" t="str">
        <f>"0097143332011"</f>
        <v>0097143332011</v>
      </c>
      <c r="F824" s="2" t="s">
        <v>12</v>
      </c>
      <c r="G824" s="2" t="s">
        <v>13</v>
      </c>
      <c r="H824" t="s">
        <v>14</v>
      </c>
      <c r="I824" s="1">
        <v>46086</v>
      </c>
      <c r="J824" t="s">
        <v>1467</v>
      </c>
    </row>
    <row r="825" spans="1:10" x14ac:dyDescent="0.25">
      <c r="A825" s="3">
        <v>46086</v>
      </c>
      <c r="B825" s="5" t="s">
        <v>1468</v>
      </c>
      <c r="C825" s="5" t="s">
        <v>1468</v>
      </c>
      <c r="D825" s="5" t="s">
        <v>355</v>
      </c>
      <c r="E825" s="4" t="str">
        <f>"0097143491022"</f>
        <v>0097143491022</v>
      </c>
      <c r="F825" s="2" t="s">
        <v>12</v>
      </c>
      <c r="G825" s="2" t="s">
        <v>13</v>
      </c>
      <c r="H825" t="s">
        <v>14</v>
      </c>
      <c r="I825" s="1">
        <v>46086</v>
      </c>
      <c r="J825" t="s">
        <v>1469</v>
      </c>
    </row>
    <row r="826" spans="1:10" x14ac:dyDescent="0.25">
      <c r="A826" s="3">
        <v>46086</v>
      </c>
      <c r="B826" s="5" t="s">
        <v>1468</v>
      </c>
      <c r="C826" s="5" t="s">
        <v>1468</v>
      </c>
      <c r="D826" s="5" t="s">
        <v>355</v>
      </c>
      <c r="E826" s="4" t="str">
        <f>"00971566679981"</f>
        <v>00971566679981</v>
      </c>
      <c r="F826" s="2" t="s">
        <v>12</v>
      </c>
      <c r="G826" s="2" t="s">
        <v>13</v>
      </c>
      <c r="H826" t="s">
        <v>14</v>
      </c>
      <c r="I826" s="1">
        <v>46086</v>
      </c>
      <c r="J826" t="s">
        <v>1470</v>
      </c>
    </row>
    <row r="827" spans="1:10" x14ac:dyDescent="0.25">
      <c r="A827" s="3">
        <v>46086</v>
      </c>
      <c r="B827" s="5" t="s">
        <v>1471</v>
      </c>
      <c r="C827" s="5" t="s">
        <v>1471</v>
      </c>
      <c r="D827" s="5" t="s">
        <v>1472</v>
      </c>
      <c r="E827" s="4" t="str">
        <f>"0097192244324"</f>
        <v>0097192244324</v>
      </c>
      <c r="F827" s="2" t="s">
        <v>12</v>
      </c>
      <c r="G827" s="2" t="s">
        <v>13</v>
      </c>
      <c r="H827" t="s">
        <v>14</v>
      </c>
      <c r="I827" s="1">
        <v>46086</v>
      </c>
      <c r="J827" t="s">
        <v>1473</v>
      </c>
    </row>
    <row r="828" spans="1:10" x14ac:dyDescent="0.25">
      <c r="A828" s="3">
        <v>46086</v>
      </c>
      <c r="B828" s="5" t="s">
        <v>1474</v>
      </c>
      <c r="C828" s="5" t="s">
        <v>1474</v>
      </c>
      <c r="D828" s="5" t="s">
        <v>1472</v>
      </c>
      <c r="E828" s="4" t="str">
        <f>"0097192440348"</f>
        <v>0097192440348</v>
      </c>
      <c r="F828" s="2" t="s">
        <v>12</v>
      </c>
      <c r="G828" s="2" t="s">
        <v>13</v>
      </c>
      <c r="H828" t="s">
        <v>14</v>
      </c>
      <c r="I828" s="1">
        <v>46086</v>
      </c>
      <c r="J828" t="s">
        <v>1475</v>
      </c>
    </row>
    <row r="829" spans="1:10" x14ac:dyDescent="0.25">
      <c r="A829" s="3">
        <v>46086</v>
      </c>
      <c r="B829" s="5" t="s">
        <v>1476</v>
      </c>
      <c r="C829" s="5" t="s">
        <v>1476</v>
      </c>
      <c r="D829" s="5" t="s">
        <v>1472</v>
      </c>
      <c r="E829" s="4" t="str">
        <f>"0097192381671"</f>
        <v>0097192381671</v>
      </c>
      <c r="F829" s="2" t="s">
        <v>12</v>
      </c>
      <c r="G829" s="2" t="s">
        <v>13</v>
      </c>
      <c r="H829" t="s">
        <v>14</v>
      </c>
      <c r="I829" s="1">
        <v>46086</v>
      </c>
      <c r="J829" t="s">
        <v>1477</v>
      </c>
    </row>
    <row r="830" spans="1:10" x14ac:dyDescent="0.25">
      <c r="A830" s="3">
        <v>46086</v>
      </c>
      <c r="B830" s="5" t="s">
        <v>1478</v>
      </c>
      <c r="C830" s="5" t="s">
        <v>1478</v>
      </c>
      <c r="D830" s="5" t="s">
        <v>1472</v>
      </c>
      <c r="E830" s="4" t="str">
        <f>"00971565646507"</f>
        <v>00971565646507</v>
      </c>
      <c r="F830" s="2" t="s">
        <v>12</v>
      </c>
      <c r="G830" s="2" t="s">
        <v>13</v>
      </c>
      <c r="H830" t="s">
        <v>14</v>
      </c>
      <c r="I830" s="1">
        <v>46086</v>
      </c>
      <c r="J830" t="s">
        <v>1479</v>
      </c>
    </row>
    <row r="831" spans="1:10" x14ac:dyDescent="0.25">
      <c r="A831" s="3">
        <v>46086</v>
      </c>
      <c r="B831" s="5" t="s">
        <v>1478</v>
      </c>
      <c r="C831" s="5" t="s">
        <v>1478</v>
      </c>
      <c r="D831" s="5" t="s">
        <v>1472</v>
      </c>
      <c r="E831" s="4" t="str">
        <f>"0097192282181"</f>
        <v>0097192282181</v>
      </c>
      <c r="F831" s="2" t="s">
        <v>12</v>
      </c>
      <c r="G831" s="2" t="s">
        <v>13</v>
      </c>
      <c r="H831" t="s">
        <v>14</v>
      </c>
      <c r="I831" s="1">
        <v>46086</v>
      </c>
      <c r="J831" t="s">
        <v>1480</v>
      </c>
    </row>
    <row r="832" spans="1:10" x14ac:dyDescent="0.25">
      <c r="A832" s="3">
        <v>46086</v>
      </c>
      <c r="B832" s="5" t="s">
        <v>1481</v>
      </c>
      <c r="C832" s="5" t="s">
        <v>1481</v>
      </c>
      <c r="D832" s="5" t="s">
        <v>1472</v>
      </c>
      <c r="E832" s="4" t="str">
        <f>"0097192222100"</f>
        <v>0097192222100</v>
      </c>
      <c r="F832" s="2" t="s">
        <v>12</v>
      </c>
      <c r="G832" s="2" t="s">
        <v>13</v>
      </c>
      <c r="H832" t="s">
        <v>14</v>
      </c>
      <c r="I832" s="1">
        <v>46086</v>
      </c>
      <c r="J832" t="s">
        <v>1482</v>
      </c>
    </row>
    <row r="833" spans="1:10" x14ac:dyDescent="0.25">
      <c r="A833" s="3">
        <v>46086</v>
      </c>
      <c r="B833" s="5" t="s">
        <v>1483</v>
      </c>
      <c r="C833" s="5" t="s">
        <v>1483</v>
      </c>
      <c r="D833" s="5" t="s">
        <v>1472</v>
      </c>
      <c r="E833" s="4" t="str">
        <f>"0097192221812"</f>
        <v>0097192221812</v>
      </c>
      <c r="F833" s="2" t="s">
        <v>12</v>
      </c>
      <c r="G833" s="2" t="s">
        <v>13</v>
      </c>
      <c r="H833" t="s">
        <v>14</v>
      </c>
      <c r="I833" s="1">
        <v>46086</v>
      </c>
      <c r="J833" t="s">
        <v>1484</v>
      </c>
    </row>
    <row r="834" spans="1:10" x14ac:dyDescent="0.25">
      <c r="A834" s="3">
        <v>46086</v>
      </c>
      <c r="B834" s="5" t="s">
        <v>1485</v>
      </c>
      <c r="C834" s="5" t="s">
        <v>1485</v>
      </c>
      <c r="D834" s="5" t="s">
        <v>1472</v>
      </c>
      <c r="E834" s="4" t="str">
        <f>"0097192229464"</f>
        <v>0097192229464</v>
      </c>
      <c r="F834" s="2" t="s">
        <v>12</v>
      </c>
      <c r="G834" s="2" t="s">
        <v>13</v>
      </c>
      <c r="H834" t="s">
        <v>14</v>
      </c>
      <c r="I834" s="1">
        <v>46086</v>
      </c>
      <c r="J834" t="s">
        <v>1486</v>
      </c>
    </row>
    <row r="835" spans="1:10" x14ac:dyDescent="0.25">
      <c r="A835" s="3">
        <v>46086</v>
      </c>
      <c r="B835" s="5" t="s">
        <v>1487</v>
      </c>
      <c r="C835" s="5" t="s">
        <v>1487</v>
      </c>
      <c r="D835" s="5" t="s">
        <v>1488</v>
      </c>
      <c r="E835" s="4" t="str">
        <f>"0097148852971"</f>
        <v>0097148852971</v>
      </c>
      <c r="F835" s="2" t="s">
        <v>12</v>
      </c>
      <c r="G835" s="2" t="s">
        <v>13</v>
      </c>
      <c r="H835" t="s">
        <v>14</v>
      </c>
      <c r="I835" s="1">
        <v>46086</v>
      </c>
      <c r="J835" t="s">
        <v>1489</v>
      </c>
    </row>
    <row r="836" spans="1:10" x14ac:dyDescent="0.25">
      <c r="A836" s="3">
        <v>46086</v>
      </c>
      <c r="B836" s="5" t="s">
        <v>1490</v>
      </c>
      <c r="C836" s="5" t="s">
        <v>1490</v>
      </c>
      <c r="D836" s="5" t="s">
        <v>1488</v>
      </c>
      <c r="E836" s="4" t="str">
        <f>"0097148135222"</f>
        <v>0097148135222</v>
      </c>
      <c r="F836" s="2" t="s">
        <v>12</v>
      </c>
      <c r="G836" s="2" t="s">
        <v>13</v>
      </c>
      <c r="H836" t="s">
        <v>14</v>
      </c>
      <c r="I836" s="1">
        <v>46086</v>
      </c>
      <c r="J836" t="s">
        <v>1491</v>
      </c>
    </row>
    <row r="837" spans="1:10" x14ac:dyDescent="0.25">
      <c r="A837" s="3">
        <v>46086</v>
      </c>
      <c r="B837" s="5" t="s">
        <v>1492</v>
      </c>
      <c r="C837" s="5" t="s">
        <v>1492</v>
      </c>
      <c r="D837" s="5" t="s">
        <v>1488</v>
      </c>
      <c r="E837" s="4" t="str">
        <f>"0097148851442"</f>
        <v>0097148851442</v>
      </c>
      <c r="F837" s="2" t="s">
        <v>12</v>
      </c>
      <c r="G837" s="2" t="s">
        <v>13</v>
      </c>
      <c r="H837" t="s">
        <v>14</v>
      </c>
      <c r="I837" s="1">
        <v>46086</v>
      </c>
      <c r="J837" t="s">
        <v>1493</v>
      </c>
    </row>
    <row r="838" spans="1:10" x14ac:dyDescent="0.25">
      <c r="A838" s="3">
        <v>46086</v>
      </c>
      <c r="B838" s="5" t="s">
        <v>1494</v>
      </c>
      <c r="C838" s="5" t="s">
        <v>1494</v>
      </c>
      <c r="D838" s="5" t="s">
        <v>1488</v>
      </c>
      <c r="E838" s="4" t="str">
        <f>"0097148830682"</f>
        <v>0097148830682</v>
      </c>
      <c r="F838" s="2" t="s">
        <v>12</v>
      </c>
      <c r="G838" s="2" t="s">
        <v>13</v>
      </c>
      <c r="H838" t="s">
        <v>14</v>
      </c>
      <c r="I838" s="1">
        <v>46086</v>
      </c>
      <c r="J838" t="s">
        <v>1495</v>
      </c>
    </row>
    <row r="839" spans="1:10" x14ac:dyDescent="0.25">
      <c r="A839" s="3">
        <v>46086</v>
      </c>
      <c r="B839" s="5" t="s">
        <v>1496</v>
      </c>
      <c r="C839" s="5" t="s">
        <v>1496</v>
      </c>
      <c r="D839" s="5" t="s">
        <v>1488</v>
      </c>
      <c r="E839" s="4" t="str">
        <f>"0097148873050"</f>
        <v>0097148873050</v>
      </c>
      <c r="F839" s="2" t="s">
        <v>12</v>
      </c>
      <c r="G839" s="2" t="s">
        <v>13</v>
      </c>
      <c r="H839" t="s">
        <v>14</v>
      </c>
      <c r="I839" s="1">
        <v>46086</v>
      </c>
      <c r="J839" t="s">
        <v>1497</v>
      </c>
    </row>
    <row r="840" spans="1:10" x14ac:dyDescent="0.25">
      <c r="A840" s="3">
        <v>46086</v>
      </c>
      <c r="B840" s="5" t="s">
        <v>38</v>
      </c>
      <c r="C840" s="5" t="s">
        <v>38</v>
      </c>
      <c r="D840" s="5" t="s">
        <v>1488</v>
      </c>
      <c r="E840" s="4" t="str">
        <f>"0097148812390"</f>
        <v>0097148812390</v>
      </c>
      <c r="F840" s="2" t="s">
        <v>12</v>
      </c>
      <c r="G840" s="2" t="s">
        <v>13</v>
      </c>
      <c r="H840" t="s">
        <v>14</v>
      </c>
      <c r="I840" s="1">
        <v>46086</v>
      </c>
      <c r="J840" t="s">
        <v>1498</v>
      </c>
    </row>
    <row r="841" spans="1:10" x14ac:dyDescent="0.25">
      <c r="A841" s="3">
        <v>46086</v>
      </c>
      <c r="B841" s="5" t="s">
        <v>1499</v>
      </c>
      <c r="C841" s="5" t="s">
        <v>1499</v>
      </c>
      <c r="D841" s="5" t="s">
        <v>1488</v>
      </c>
      <c r="E841" s="4" t="str">
        <f>"0097148847248"</f>
        <v>0097148847248</v>
      </c>
      <c r="F841" s="2" t="s">
        <v>12</v>
      </c>
      <c r="G841" s="2" t="s">
        <v>13</v>
      </c>
      <c r="H841" t="s">
        <v>14</v>
      </c>
      <c r="I841" s="1">
        <v>46086</v>
      </c>
      <c r="J841" t="s">
        <v>1500</v>
      </c>
    </row>
    <row r="842" spans="1:10" x14ac:dyDescent="0.25">
      <c r="A842" s="3">
        <v>46086</v>
      </c>
      <c r="B842" s="5" t="s">
        <v>1501</v>
      </c>
      <c r="C842" s="5" t="s">
        <v>1501</v>
      </c>
      <c r="D842" s="5" t="s">
        <v>1488</v>
      </c>
      <c r="E842" s="4" t="str">
        <f>"0097148809922"</f>
        <v>0097148809922</v>
      </c>
      <c r="F842" s="2" t="s">
        <v>12</v>
      </c>
      <c r="G842" s="2" t="s">
        <v>13</v>
      </c>
      <c r="H842" t="s">
        <v>14</v>
      </c>
      <c r="I842" s="1">
        <v>46086</v>
      </c>
      <c r="J842" t="s">
        <v>1502</v>
      </c>
    </row>
    <row r="843" spans="1:10" x14ac:dyDescent="0.25">
      <c r="A843" s="3">
        <v>46086</v>
      </c>
      <c r="B843" s="5" t="s">
        <v>1503</v>
      </c>
      <c r="C843" s="5" t="s">
        <v>1503</v>
      </c>
      <c r="D843" s="5" t="s">
        <v>1488</v>
      </c>
      <c r="E843" s="4" t="str">
        <f>"0097148819441"</f>
        <v>0097148819441</v>
      </c>
      <c r="F843" s="2" t="s">
        <v>12</v>
      </c>
      <c r="G843" s="2" t="s">
        <v>13</v>
      </c>
      <c r="H843" t="s">
        <v>14</v>
      </c>
      <c r="I843" s="1">
        <v>46086</v>
      </c>
      <c r="J843" t="s">
        <v>1504</v>
      </c>
    </row>
    <row r="844" spans="1:10" x14ac:dyDescent="0.25">
      <c r="A844" s="3">
        <v>46086</v>
      </c>
      <c r="B844" s="5" t="s">
        <v>1505</v>
      </c>
      <c r="C844" s="5" t="s">
        <v>1505</v>
      </c>
      <c r="D844" s="5" t="s">
        <v>1488</v>
      </c>
      <c r="E844" s="4" t="str">
        <f>"0097143333233"</f>
        <v>0097143333233</v>
      </c>
      <c r="F844" s="2" t="s">
        <v>12</v>
      </c>
      <c r="G844" s="2" t="s">
        <v>13</v>
      </c>
      <c r="H844" t="s">
        <v>14</v>
      </c>
      <c r="I844" s="1">
        <v>46086</v>
      </c>
      <c r="J844" t="s">
        <v>1506</v>
      </c>
    </row>
    <row r="845" spans="1:10" x14ac:dyDescent="0.25">
      <c r="A845" s="3">
        <v>46086</v>
      </c>
      <c r="B845" s="5" t="s">
        <v>1507</v>
      </c>
      <c r="C845" s="5" t="s">
        <v>1507</v>
      </c>
      <c r="D845" s="5" t="s">
        <v>1488</v>
      </c>
      <c r="E845" s="4" t="str">
        <f>"0097148808895"</f>
        <v>0097148808895</v>
      </c>
      <c r="F845" s="2" t="s">
        <v>12</v>
      </c>
      <c r="G845" s="2" t="s">
        <v>13</v>
      </c>
      <c r="H845" t="s">
        <v>14</v>
      </c>
      <c r="I845" s="1">
        <v>46086</v>
      </c>
      <c r="J845" t="s">
        <v>1508</v>
      </c>
    </row>
    <row r="846" spans="1:10" x14ac:dyDescent="0.25">
      <c r="A846" s="3">
        <v>46086</v>
      </c>
      <c r="B846" s="5" t="s">
        <v>1509</v>
      </c>
      <c r="C846" s="5" t="s">
        <v>1509</v>
      </c>
      <c r="D846" s="5" t="s">
        <v>1488</v>
      </c>
      <c r="E846" s="4" t="str">
        <f>"0097148811302"</f>
        <v>0097148811302</v>
      </c>
      <c r="F846" s="2" t="s">
        <v>12</v>
      </c>
      <c r="G846" s="2" t="s">
        <v>13</v>
      </c>
      <c r="H846" t="s">
        <v>14</v>
      </c>
      <c r="I846" s="1">
        <v>46086</v>
      </c>
      <c r="J846" t="s">
        <v>1510</v>
      </c>
    </row>
    <row r="847" spans="1:10" x14ac:dyDescent="0.25">
      <c r="A847" s="3">
        <v>46086</v>
      </c>
      <c r="B847" s="5" t="s">
        <v>1511</v>
      </c>
      <c r="C847" s="5" t="s">
        <v>1511</v>
      </c>
      <c r="D847" s="5" t="s">
        <v>1488</v>
      </c>
      <c r="E847" s="4" t="str">
        <f>"0097148862293"</f>
        <v>0097148862293</v>
      </c>
      <c r="F847" s="2" t="s">
        <v>12</v>
      </c>
      <c r="G847" s="2" t="s">
        <v>13</v>
      </c>
      <c r="H847" t="s">
        <v>14</v>
      </c>
      <c r="I847" s="1">
        <v>46086</v>
      </c>
      <c r="J847" t="s">
        <v>1512</v>
      </c>
    </row>
    <row r="848" spans="1:10" x14ac:dyDescent="0.25">
      <c r="A848" s="3">
        <v>46086</v>
      </c>
      <c r="B848" s="5" t="s">
        <v>1511</v>
      </c>
      <c r="C848" s="5" t="s">
        <v>1511</v>
      </c>
      <c r="D848" s="5" t="s">
        <v>1488</v>
      </c>
      <c r="E848" s="4" t="str">
        <f>"00971506448420"</f>
        <v>00971506448420</v>
      </c>
      <c r="F848" s="2" t="s">
        <v>12</v>
      </c>
      <c r="G848" s="2" t="s">
        <v>13</v>
      </c>
      <c r="H848" t="s">
        <v>14</v>
      </c>
      <c r="I848" s="1">
        <v>46086</v>
      </c>
      <c r="J848" t="s">
        <v>1513</v>
      </c>
    </row>
    <row r="849" spans="1:10" x14ac:dyDescent="0.25">
      <c r="A849" s="3">
        <v>46086</v>
      </c>
      <c r="B849" s="5" t="s">
        <v>1514</v>
      </c>
      <c r="C849" s="5" t="s">
        <v>1514</v>
      </c>
      <c r="D849" s="5" t="s">
        <v>1488</v>
      </c>
      <c r="E849" s="4" t="str">
        <f>"0097148839160"</f>
        <v>0097148839160</v>
      </c>
      <c r="F849" s="2" t="s">
        <v>12</v>
      </c>
      <c r="G849" s="2" t="s">
        <v>13</v>
      </c>
      <c r="H849" t="s">
        <v>14</v>
      </c>
      <c r="I849" s="1">
        <v>46086</v>
      </c>
      <c r="J849" t="s">
        <v>1515</v>
      </c>
    </row>
    <row r="850" spans="1:10" x14ac:dyDescent="0.25">
      <c r="A850" s="3">
        <v>46086</v>
      </c>
      <c r="B850" s="5" t="s">
        <v>1516</v>
      </c>
      <c r="C850" s="5" t="s">
        <v>1516</v>
      </c>
      <c r="D850" s="5" t="s">
        <v>1488</v>
      </c>
      <c r="E850" s="4" t="str">
        <f>"0097148811048"</f>
        <v>0097148811048</v>
      </c>
      <c r="F850" s="2" t="s">
        <v>12</v>
      </c>
      <c r="G850" s="2" t="s">
        <v>13</v>
      </c>
      <c r="H850" t="s">
        <v>14</v>
      </c>
      <c r="I850" s="1">
        <v>46086</v>
      </c>
      <c r="J850" t="s">
        <v>1517</v>
      </c>
    </row>
    <row r="851" spans="1:10" x14ac:dyDescent="0.25">
      <c r="A851" s="3">
        <v>46086</v>
      </c>
      <c r="B851" s="5" t="s">
        <v>1518</v>
      </c>
      <c r="C851" s="5" t="s">
        <v>1518</v>
      </c>
      <c r="D851" s="5" t="s">
        <v>1488</v>
      </c>
      <c r="E851" s="4" t="str">
        <f>"0097148872131"</f>
        <v>0097148872131</v>
      </c>
      <c r="F851" s="2" t="s">
        <v>12</v>
      </c>
      <c r="G851" s="2" t="s">
        <v>13</v>
      </c>
      <c r="H851" t="s">
        <v>14</v>
      </c>
      <c r="I851" s="1">
        <v>46086</v>
      </c>
      <c r="J851" t="s">
        <v>1519</v>
      </c>
    </row>
    <row r="852" spans="1:10" x14ac:dyDescent="0.25">
      <c r="A852" s="3">
        <v>46086</v>
      </c>
      <c r="B852" s="5" t="s">
        <v>1520</v>
      </c>
      <c r="C852" s="5" t="s">
        <v>1520</v>
      </c>
      <c r="D852" s="5" t="s">
        <v>1488</v>
      </c>
      <c r="E852" s="4" t="str">
        <f>"0097148812666"</f>
        <v>0097148812666</v>
      </c>
      <c r="F852" s="2" t="s">
        <v>12</v>
      </c>
      <c r="G852" s="2" t="s">
        <v>13</v>
      </c>
      <c r="H852" t="s">
        <v>14</v>
      </c>
      <c r="I852" s="1">
        <v>46086</v>
      </c>
      <c r="J852" t="s">
        <v>1521</v>
      </c>
    </row>
    <row r="853" spans="1:10" x14ac:dyDescent="0.25">
      <c r="A853" s="3">
        <v>46086</v>
      </c>
      <c r="B853" s="5" t="s">
        <v>1522</v>
      </c>
      <c r="C853" s="5" t="s">
        <v>1522</v>
      </c>
      <c r="D853" s="5" t="s">
        <v>1488</v>
      </c>
      <c r="E853" s="4" t="str">
        <f>"0097148875646"</f>
        <v>0097148875646</v>
      </c>
      <c r="F853" s="2" t="s">
        <v>12</v>
      </c>
      <c r="G853" s="2" t="s">
        <v>13</v>
      </c>
      <c r="H853" t="s">
        <v>14</v>
      </c>
      <c r="I853" s="1">
        <v>46086</v>
      </c>
      <c r="J853" t="s">
        <v>1523</v>
      </c>
    </row>
    <row r="854" spans="1:10" x14ac:dyDescent="0.25">
      <c r="A854" s="3">
        <v>46086</v>
      </c>
      <c r="B854" s="5" t="s">
        <v>1524</v>
      </c>
      <c r="C854" s="5" t="s">
        <v>1524</v>
      </c>
      <c r="D854" s="5" t="s">
        <v>1488</v>
      </c>
      <c r="E854" s="4" t="str">
        <f>"0097148809007"</f>
        <v>0097148809007</v>
      </c>
      <c r="F854" s="2" t="s">
        <v>12</v>
      </c>
      <c r="G854" s="2" t="s">
        <v>13</v>
      </c>
      <c r="H854" t="s">
        <v>14</v>
      </c>
      <c r="I854" s="1">
        <v>46086</v>
      </c>
      <c r="J854" t="s">
        <v>1525</v>
      </c>
    </row>
    <row r="855" spans="1:10" x14ac:dyDescent="0.25">
      <c r="A855" s="3">
        <v>46086</v>
      </c>
      <c r="B855" s="5" t="s">
        <v>1526</v>
      </c>
      <c r="C855" s="5" t="s">
        <v>1526</v>
      </c>
      <c r="D855" s="5" t="s">
        <v>1488</v>
      </c>
      <c r="E855" s="4" t="str">
        <f>"0097148862000"</f>
        <v>0097148862000</v>
      </c>
      <c r="F855" s="2" t="s">
        <v>12</v>
      </c>
      <c r="G855" s="2" t="s">
        <v>13</v>
      </c>
      <c r="H855" t="s">
        <v>14</v>
      </c>
      <c r="I855" s="1">
        <v>46086</v>
      </c>
      <c r="J855" t="s">
        <v>1527</v>
      </c>
    </row>
    <row r="856" spans="1:10" x14ac:dyDescent="0.25">
      <c r="A856" s="3">
        <v>46086</v>
      </c>
      <c r="B856" s="5" t="s">
        <v>1528</v>
      </c>
      <c r="C856" s="5" t="s">
        <v>1528</v>
      </c>
      <c r="D856" s="5" t="s">
        <v>1488</v>
      </c>
      <c r="E856" s="4" t="str">
        <f>"0097148880000"</f>
        <v>0097148880000</v>
      </c>
      <c r="F856" s="2" t="s">
        <v>12</v>
      </c>
      <c r="G856" s="2" t="s">
        <v>13</v>
      </c>
      <c r="H856" t="s">
        <v>14</v>
      </c>
      <c r="I856" s="1">
        <v>46086</v>
      </c>
      <c r="J856" t="s">
        <v>1529</v>
      </c>
    </row>
    <row r="857" spans="1:10" x14ac:dyDescent="0.25">
      <c r="A857" s="3">
        <v>46086</v>
      </c>
      <c r="B857" s="5" t="s">
        <v>1528</v>
      </c>
      <c r="C857" s="5" t="s">
        <v>1528</v>
      </c>
      <c r="D857" s="5" t="s">
        <v>1488</v>
      </c>
      <c r="E857" s="4" t="str">
        <f>"00971507725669"</f>
        <v>00971507725669</v>
      </c>
      <c r="F857" s="2" t="s">
        <v>12</v>
      </c>
      <c r="G857" s="2" t="s">
        <v>13</v>
      </c>
      <c r="H857" t="s">
        <v>14</v>
      </c>
      <c r="I857" s="1">
        <v>46086</v>
      </c>
      <c r="J857" t="s">
        <v>1530</v>
      </c>
    </row>
    <row r="858" spans="1:10" x14ac:dyDescent="0.25">
      <c r="A858" s="3">
        <v>46086</v>
      </c>
      <c r="B858" s="5" t="s">
        <v>127</v>
      </c>
      <c r="C858" s="5" t="s">
        <v>127</v>
      </c>
      <c r="D858" s="5" t="s">
        <v>1488</v>
      </c>
      <c r="E858" s="4" t="str">
        <f>"0097148894886"</f>
        <v>0097148894886</v>
      </c>
      <c r="F858" s="2" t="s">
        <v>12</v>
      </c>
      <c r="G858" s="2" t="s">
        <v>13</v>
      </c>
      <c r="H858" t="s">
        <v>14</v>
      </c>
      <c r="I858" s="1">
        <v>46086</v>
      </c>
      <c r="J858" t="s">
        <v>1531</v>
      </c>
    </row>
    <row r="859" spans="1:10" x14ac:dyDescent="0.25">
      <c r="A859" s="3">
        <v>46086</v>
      </c>
      <c r="B859" s="5" t="s">
        <v>127</v>
      </c>
      <c r="C859" s="5" t="s">
        <v>127</v>
      </c>
      <c r="D859" s="5" t="s">
        <v>1488</v>
      </c>
      <c r="E859" s="4" t="str">
        <f>"0097148894887"</f>
        <v>0097148894887</v>
      </c>
      <c r="F859" s="2" t="s">
        <v>12</v>
      </c>
      <c r="G859" s="2" t="s">
        <v>13</v>
      </c>
      <c r="H859" t="s">
        <v>14</v>
      </c>
      <c r="I859" s="1">
        <v>46086</v>
      </c>
      <c r="J859" t="s">
        <v>1531</v>
      </c>
    </row>
    <row r="860" spans="1:10" x14ac:dyDescent="0.25">
      <c r="A860" s="3">
        <v>46086</v>
      </c>
      <c r="B860" s="5" t="s">
        <v>1532</v>
      </c>
      <c r="C860" s="5" t="s">
        <v>1532</v>
      </c>
      <c r="D860" s="5" t="s">
        <v>1488</v>
      </c>
      <c r="E860" s="4" t="str">
        <f>"0097148854888"</f>
        <v>0097148854888</v>
      </c>
      <c r="F860" s="2" t="s">
        <v>12</v>
      </c>
      <c r="G860" s="2" t="s">
        <v>13</v>
      </c>
      <c r="H860" t="s">
        <v>14</v>
      </c>
      <c r="I860" s="1">
        <v>46086</v>
      </c>
      <c r="J860" t="s">
        <v>1533</v>
      </c>
    </row>
    <row r="861" spans="1:10" x14ac:dyDescent="0.25">
      <c r="A861" s="3">
        <v>46086</v>
      </c>
      <c r="B861" s="5" t="s">
        <v>1534</v>
      </c>
      <c r="C861" s="5" t="s">
        <v>1534</v>
      </c>
      <c r="D861" s="5" t="s">
        <v>1488</v>
      </c>
      <c r="E861" s="4" t="str">
        <f>"0097148802873"</f>
        <v>0097148802873</v>
      </c>
      <c r="F861" s="2" t="s">
        <v>12</v>
      </c>
      <c r="G861" s="2" t="s">
        <v>13</v>
      </c>
      <c r="H861" t="s">
        <v>14</v>
      </c>
      <c r="I861" s="1">
        <v>46086</v>
      </c>
      <c r="J861" t="s">
        <v>1535</v>
      </c>
    </row>
    <row r="862" spans="1:10" x14ac:dyDescent="0.25">
      <c r="A862" s="3">
        <v>46086</v>
      </c>
      <c r="B862" s="5" t="s">
        <v>1536</v>
      </c>
      <c r="C862" s="5" t="s">
        <v>1536</v>
      </c>
      <c r="D862" s="5" t="s">
        <v>1488</v>
      </c>
      <c r="E862" s="4" t="str">
        <f>"0097148886691"</f>
        <v>0097148886691</v>
      </c>
      <c r="F862" s="2" t="s">
        <v>12</v>
      </c>
      <c r="G862" s="2" t="s">
        <v>13</v>
      </c>
      <c r="H862" t="s">
        <v>14</v>
      </c>
      <c r="I862" s="1">
        <v>46086</v>
      </c>
      <c r="J862" t="s">
        <v>1537</v>
      </c>
    </row>
    <row r="863" spans="1:10" x14ac:dyDescent="0.25">
      <c r="A863" s="3">
        <v>46086</v>
      </c>
      <c r="B863" s="5" t="s">
        <v>1538</v>
      </c>
      <c r="C863" s="5" t="s">
        <v>1538</v>
      </c>
      <c r="D863" s="5" t="s">
        <v>1488</v>
      </c>
      <c r="E863" s="4" t="str">
        <f>"0097148996111"</f>
        <v>0097148996111</v>
      </c>
      <c r="F863" s="2" t="s">
        <v>12</v>
      </c>
      <c r="G863" s="2" t="s">
        <v>13</v>
      </c>
      <c r="H863" t="s">
        <v>14</v>
      </c>
      <c r="I863" s="1">
        <v>46086</v>
      </c>
      <c r="J863" t="s">
        <v>1539</v>
      </c>
    </row>
    <row r="864" spans="1:10" x14ac:dyDescent="0.25">
      <c r="A864" s="3">
        <v>46086</v>
      </c>
      <c r="B864" s="5" t="s">
        <v>1540</v>
      </c>
      <c r="C864" s="5" t="s">
        <v>1540</v>
      </c>
      <c r="D864" s="5" t="s">
        <v>1488</v>
      </c>
      <c r="E864" s="4" t="str">
        <f>"0097148871522"</f>
        <v>0097148871522</v>
      </c>
      <c r="F864" s="2" t="s">
        <v>12</v>
      </c>
      <c r="G864" s="2" t="s">
        <v>13</v>
      </c>
      <c r="H864" t="s">
        <v>14</v>
      </c>
      <c r="I864" s="1">
        <v>46086</v>
      </c>
      <c r="J864" t="s">
        <v>1541</v>
      </c>
    </row>
    <row r="865" spans="1:10" x14ac:dyDescent="0.25">
      <c r="A865" s="3">
        <v>46086</v>
      </c>
      <c r="B865" s="5" t="s">
        <v>1542</v>
      </c>
      <c r="C865" s="5" t="s">
        <v>1542</v>
      </c>
      <c r="D865" s="5" t="s">
        <v>1488</v>
      </c>
      <c r="E865" s="4" t="str">
        <f>"0097148811105"</f>
        <v>0097148811105</v>
      </c>
      <c r="F865" s="2" t="s">
        <v>12</v>
      </c>
      <c r="G865" s="2" t="s">
        <v>13</v>
      </c>
      <c r="H865" t="s">
        <v>14</v>
      </c>
      <c r="I865" s="1">
        <v>46086</v>
      </c>
      <c r="J865" t="s">
        <v>1543</v>
      </c>
    </row>
    <row r="866" spans="1:10" x14ac:dyDescent="0.25">
      <c r="A866" s="3">
        <v>46086</v>
      </c>
      <c r="B866" s="5" t="s">
        <v>1544</v>
      </c>
      <c r="C866" s="5" t="s">
        <v>1544</v>
      </c>
      <c r="D866" s="5" t="s">
        <v>1488</v>
      </c>
      <c r="E866" s="4" t="str">
        <f>"0097148871661"</f>
        <v>0097148871661</v>
      </c>
      <c r="F866" s="2" t="s">
        <v>12</v>
      </c>
      <c r="G866" s="2" t="s">
        <v>13</v>
      </c>
      <c r="H866" t="s">
        <v>14</v>
      </c>
      <c r="I866" s="1">
        <v>46086</v>
      </c>
      <c r="J866" t="s">
        <v>1545</v>
      </c>
    </row>
    <row r="867" spans="1:10" x14ac:dyDescent="0.25">
      <c r="A867" s="3">
        <v>46086</v>
      </c>
      <c r="B867" s="5" t="s">
        <v>1546</v>
      </c>
      <c r="C867" s="5" t="s">
        <v>1546</v>
      </c>
      <c r="D867" s="5" t="s">
        <v>1488</v>
      </c>
      <c r="E867" s="4" t="str">
        <f>"0097148861788"</f>
        <v>0097148861788</v>
      </c>
      <c r="F867" s="2" t="s">
        <v>12</v>
      </c>
      <c r="G867" s="2" t="s">
        <v>13</v>
      </c>
      <c r="H867" t="s">
        <v>14</v>
      </c>
      <c r="I867" s="1">
        <v>46086</v>
      </c>
      <c r="J867" t="s">
        <v>1547</v>
      </c>
    </row>
    <row r="868" spans="1:10" x14ac:dyDescent="0.25">
      <c r="A868" s="3">
        <v>46086</v>
      </c>
      <c r="B868" s="5" t="s">
        <v>1548</v>
      </c>
      <c r="C868" s="5" t="s">
        <v>1548</v>
      </c>
      <c r="D868" s="5" t="s">
        <v>1488</v>
      </c>
      <c r="E868" s="4" t="str">
        <f>"0097143886582"</f>
        <v>0097143886582</v>
      </c>
      <c r="F868" s="2" t="s">
        <v>12</v>
      </c>
      <c r="G868" s="2" t="s">
        <v>13</v>
      </c>
      <c r="H868" t="s">
        <v>14</v>
      </c>
      <c r="I868" s="1">
        <v>46086</v>
      </c>
      <c r="J868" t="s">
        <v>1549</v>
      </c>
    </row>
    <row r="869" spans="1:10" x14ac:dyDescent="0.25">
      <c r="A869" s="3">
        <v>46086</v>
      </c>
      <c r="B869" s="5" t="s">
        <v>1548</v>
      </c>
      <c r="C869" s="5" t="s">
        <v>1548</v>
      </c>
      <c r="D869" s="5" t="s">
        <v>1488</v>
      </c>
      <c r="E869" s="4" t="str">
        <f>"00971501332186"</f>
        <v>00971501332186</v>
      </c>
      <c r="F869" s="2" t="s">
        <v>12</v>
      </c>
      <c r="G869" s="2" t="s">
        <v>13</v>
      </c>
      <c r="H869" t="s">
        <v>14</v>
      </c>
      <c r="I869" s="1">
        <v>46086</v>
      </c>
      <c r="J869" t="s">
        <v>1550</v>
      </c>
    </row>
    <row r="870" spans="1:10" x14ac:dyDescent="0.25">
      <c r="A870" s="3">
        <v>46086</v>
      </c>
      <c r="B870" s="5" t="s">
        <v>1551</v>
      </c>
      <c r="C870" s="5" t="s">
        <v>1551</v>
      </c>
      <c r="D870" s="5" t="s">
        <v>1488</v>
      </c>
      <c r="E870" s="4" t="str">
        <f>"0097148860880"</f>
        <v>0097148860880</v>
      </c>
      <c r="F870" s="2" t="s">
        <v>12</v>
      </c>
      <c r="G870" s="2" t="s">
        <v>13</v>
      </c>
      <c r="H870" t="s">
        <v>14</v>
      </c>
      <c r="I870" s="1">
        <v>46086</v>
      </c>
      <c r="J870" t="s">
        <v>1552</v>
      </c>
    </row>
    <row r="871" spans="1:10" x14ac:dyDescent="0.25">
      <c r="A871" s="3">
        <v>46086</v>
      </c>
      <c r="B871" s="5" t="s">
        <v>1553</v>
      </c>
      <c r="C871" s="5" t="s">
        <v>1553</v>
      </c>
      <c r="D871" s="5" t="s">
        <v>1554</v>
      </c>
      <c r="E871" s="4" t="str">
        <f>"0097172223773"</f>
        <v>0097172223773</v>
      </c>
      <c r="F871" s="2" t="s">
        <v>12</v>
      </c>
      <c r="G871" s="2" t="s">
        <v>13</v>
      </c>
      <c r="H871" t="s">
        <v>14</v>
      </c>
      <c r="I871" s="1">
        <v>46086</v>
      </c>
      <c r="J871" t="s">
        <v>1555</v>
      </c>
    </row>
    <row r="872" spans="1:10" x14ac:dyDescent="0.25">
      <c r="A872" s="3">
        <v>46086</v>
      </c>
      <c r="B872" s="5" t="s">
        <v>1556</v>
      </c>
      <c r="C872" s="5" t="s">
        <v>1556</v>
      </c>
      <c r="D872" s="5" t="s">
        <v>1554</v>
      </c>
      <c r="E872" s="4" t="str">
        <f>"0097172363612"</f>
        <v>0097172363612</v>
      </c>
      <c r="F872" s="2" t="s">
        <v>12</v>
      </c>
      <c r="G872" s="2" t="s">
        <v>13</v>
      </c>
      <c r="H872" t="s">
        <v>14</v>
      </c>
      <c r="I872" s="1">
        <v>46086</v>
      </c>
      <c r="J872" t="s">
        <v>1557</v>
      </c>
    </row>
    <row r="873" spans="1:10" x14ac:dyDescent="0.25">
      <c r="A873" s="3">
        <v>46086</v>
      </c>
      <c r="B873" s="5" t="s">
        <v>1558</v>
      </c>
      <c r="C873" s="5" t="s">
        <v>1558</v>
      </c>
      <c r="D873" s="5" t="s">
        <v>1554</v>
      </c>
      <c r="E873" s="4" t="str">
        <f>"0097172432858"</f>
        <v>0097172432858</v>
      </c>
      <c r="F873" s="2" t="s">
        <v>12</v>
      </c>
      <c r="G873" s="2" t="s">
        <v>13</v>
      </c>
      <c r="H873" t="s">
        <v>14</v>
      </c>
      <c r="I873" s="1">
        <v>46086</v>
      </c>
      <c r="J873" t="s">
        <v>1559</v>
      </c>
    </row>
    <row r="874" spans="1:10" x14ac:dyDescent="0.25">
      <c r="A874" s="3">
        <v>46086</v>
      </c>
      <c r="B874" s="5" t="s">
        <v>1560</v>
      </c>
      <c r="C874" s="5" t="s">
        <v>1560</v>
      </c>
      <c r="D874" s="5" t="s">
        <v>1554</v>
      </c>
      <c r="E874" s="4" t="str">
        <f>"0097172223534"</f>
        <v>0097172223534</v>
      </c>
      <c r="F874" s="2" t="s">
        <v>12</v>
      </c>
      <c r="G874" s="2" t="s">
        <v>13</v>
      </c>
      <c r="H874" t="s">
        <v>14</v>
      </c>
      <c r="I874" s="1">
        <v>46086</v>
      </c>
      <c r="J874" t="s">
        <v>1561</v>
      </c>
    </row>
    <row r="875" spans="1:10" x14ac:dyDescent="0.25">
      <c r="A875" s="3">
        <v>46086</v>
      </c>
      <c r="B875" s="5" t="s">
        <v>1562</v>
      </c>
      <c r="C875" s="5" t="s">
        <v>1562</v>
      </c>
      <c r="D875" s="5" t="s">
        <v>1554</v>
      </c>
      <c r="E875" s="4" t="str">
        <f>"0097172335579"</f>
        <v>0097172335579</v>
      </c>
      <c r="F875" s="2" t="s">
        <v>12</v>
      </c>
      <c r="G875" s="2" t="s">
        <v>13</v>
      </c>
      <c r="H875" t="s">
        <v>14</v>
      </c>
      <c r="I875" s="1">
        <v>46086</v>
      </c>
      <c r="J875" t="s">
        <v>1563</v>
      </c>
    </row>
    <row r="876" spans="1:10" x14ac:dyDescent="0.25">
      <c r="A876" s="3">
        <v>46086</v>
      </c>
      <c r="B876" s="5" t="s">
        <v>1175</v>
      </c>
      <c r="C876" s="5" t="s">
        <v>1175</v>
      </c>
      <c r="D876" s="5" t="s">
        <v>1554</v>
      </c>
      <c r="E876" s="4" t="str">
        <f>"0097172333236"</f>
        <v>0097172333236</v>
      </c>
      <c r="F876" s="2" t="s">
        <v>12</v>
      </c>
      <c r="G876" s="2" t="s">
        <v>13</v>
      </c>
      <c r="H876" t="s">
        <v>14</v>
      </c>
      <c r="I876" s="1">
        <v>46086</v>
      </c>
      <c r="J876" t="s">
        <v>1564</v>
      </c>
    </row>
    <row r="877" spans="1:10" x14ac:dyDescent="0.25">
      <c r="A877" s="3">
        <v>46086</v>
      </c>
      <c r="B877" s="5" t="s">
        <v>1565</v>
      </c>
      <c r="C877" s="5" t="s">
        <v>1565</v>
      </c>
      <c r="D877" s="5" t="s">
        <v>1554</v>
      </c>
      <c r="E877" s="4" t="str">
        <f>"0097172462957"</f>
        <v>0097172462957</v>
      </c>
      <c r="F877" s="2" t="s">
        <v>12</v>
      </c>
      <c r="G877" s="2" t="s">
        <v>13</v>
      </c>
      <c r="H877" t="s">
        <v>14</v>
      </c>
      <c r="I877" s="1">
        <v>46086</v>
      </c>
      <c r="J877" t="s">
        <v>1566</v>
      </c>
    </row>
    <row r="878" spans="1:10" x14ac:dyDescent="0.25">
      <c r="A878" s="3">
        <v>46086</v>
      </c>
      <c r="B878" s="5" t="s">
        <v>1567</v>
      </c>
      <c r="C878" s="5" t="s">
        <v>1567</v>
      </c>
      <c r="D878" s="5" t="s">
        <v>1554</v>
      </c>
      <c r="E878" s="4" t="str">
        <f>"0097172589175"</f>
        <v>0097172589175</v>
      </c>
      <c r="F878" s="2" t="s">
        <v>12</v>
      </c>
      <c r="G878" s="2" t="s">
        <v>13</v>
      </c>
      <c r="H878" t="s">
        <v>14</v>
      </c>
      <c r="I878" s="1">
        <v>46086</v>
      </c>
      <c r="J878" t="s">
        <v>1568</v>
      </c>
    </row>
    <row r="879" spans="1:10" x14ac:dyDescent="0.25">
      <c r="A879" s="3">
        <v>46086</v>
      </c>
      <c r="B879" s="5" t="s">
        <v>1569</v>
      </c>
      <c r="C879" s="5" t="s">
        <v>1569</v>
      </c>
      <c r="D879" s="5" t="s">
        <v>1554</v>
      </c>
      <c r="E879" s="4" t="str">
        <f>"0097172662289"</f>
        <v>0097172662289</v>
      </c>
      <c r="F879" s="2" t="s">
        <v>12</v>
      </c>
      <c r="G879" s="2" t="s">
        <v>13</v>
      </c>
      <c r="H879" t="s">
        <v>14</v>
      </c>
      <c r="I879" s="1">
        <v>46086</v>
      </c>
      <c r="J879" t="s">
        <v>1570</v>
      </c>
    </row>
    <row r="880" spans="1:10" x14ac:dyDescent="0.25">
      <c r="A880" s="3">
        <v>46086</v>
      </c>
      <c r="B880" s="5" t="s">
        <v>1571</v>
      </c>
      <c r="C880" s="5" t="s">
        <v>1571</v>
      </c>
      <c r="D880" s="5" t="s">
        <v>1554</v>
      </c>
      <c r="E880" s="4" t="str">
        <f>"0097172334049"</f>
        <v>0097172334049</v>
      </c>
      <c r="F880" s="2" t="s">
        <v>12</v>
      </c>
      <c r="G880" s="2" t="s">
        <v>13</v>
      </c>
      <c r="H880" t="s">
        <v>14</v>
      </c>
      <c r="I880" s="1">
        <v>46086</v>
      </c>
      <c r="J880" t="s">
        <v>1572</v>
      </c>
    </row>
    <row r="881" spans="1:10" x14ac:dyDescent="0.25">
      <c r="A881" s="3">
        <v>46086</v>
      </c>
      <c r="B881" s="5" t="s">
        <v>1573</v>
      </c>
      <c r="C881" s="5" t="s">
        <v>1573</v>
      </c>
      <c r="D881" s="5" t="s">
        <v>1554</v>
      </c>
      <c r="E881" s="4" t="str">
        <f>"0097172221405"</f>
        <v>0097172221405</v>
      </c>
      <c r="F881" s="2" t="s">
        <v>12</v>
      </c>
      <c r="G881" s="2" t="s">
        <v>13</v>
      </c>
      <c r="H881" t="s">
        <v>14</v>
      </c>
      <c r="I881" s="1">
        <v>46086</v>
      </c>
      <c r="J881" t="s">
        <v>1574</v>
      </c>
    </row>
    <row r="882" spans="1:10" x14ac:dyDescent="0.25">
      <c r="A882" s="3">
        <v>46086</v>
      </c>
      <c r="B882" s="5" t="s">
        <v>370</v>
      </c>
      <c r="C882" s="5" t="s">
        <v>370</v>
      </c>
      <c r="D882" s="5" t="s">
        <v>1575</v>
      </c>
      <c r="E882" s="4" t="str">
        <f>"0097165538106"</f>
        <v>0097165538106</v>
      </c>
      <c r="F882" s="2" t="s">
        <v>12</v>
      </c>
      <c r="G882" s="2" t="s">
        <v>13</v>
      </c>
      <c r="H882" t="s">
        <v>14</v>
      </c>
      <c r="I882" s="1">
        <v>46086</v>
      </c>
      <c r="J882" t="s">
        <v>1576</v>
      </c>
    </row>
    <row r="883" spans="1:10" x14ac:dyDescent="0.25">
      <c r="A883" s="3">
        <v>46086</v>
      </c>
      <c r="B883" s="5" t="s">
        <v>370</v>
      </c>
      <c r="C883" s="5" t="s">
        <v>370</v>
      </c>
      <c r="D883" s="5" t="s">
        <v>1575</v>
      </c>
      <c r="E883" s="4" t="str">
        <f>"0097165538136"</f>
        <v>0097165538136</v>
      </c>
      <c r="F883" s="2" t="s">
        <v>12</v>
      </c>
      <c r="G883" s="2" t="s">
        <v>13</v>
      </c>
      <c r="H883" t="s">
        <v>14</v>
      </c>
      <c r="I883" s="1">
        <v>46086</v>
      </c>
      <c r="J883" t="s">
        <v>1576</v>
      </c>
    </row>
    <row r="884" spans="1:10" x14ac:dyDescent="0.25">
      <c r="A884" s="3">
        <v>46086</v>
      </c>
      <c r="B884" s="5" t="s">
        <v>384</v>
      </c>
      <c r="C884" s="5" t="s">
        <v>384</v>
      </c>
      <c r="D884" s="5" t="s">
        <v>1575</v>
      </c>
      <c r="E884" s="4" t="str">
        <f>"00971562108123"</f>
        <v>00971562108123</v>
      </c>
      <c r="F884" s="2" t="s">
        <v>12</v>
      </c>
      <c r="G884" s="2" t="s">
        <v>13</v>
      </c>
      <c r="H884" t="s">
        <v>14</v>
      </c>
      <c r="I884" s="1">
        <v>46086</v>
      </c>
      <c r="J884" t="s">
        <v>1577</v>
      </c>
    </row>
    <row r="885" spans="1:10" x14ac:dyDescent="0.25">
      <c r="A885" s="3">
        <v>46086</v>
      </c>
      <c r="B885" s="5" t="s">
        <v>384</v>
      </c>
      <c r="C885" s="5" t="s">
        <v>384</v>
      </c>
      <c r="D885" s="5" t="s">
        <v>1575</v>
      </c>
      <c r="E885" s="4" t="str">
        <f>"0097165214555"</f>
        <v>0097165214555</v>
      </c>
      <c r="F885" s="2" t="s">
        <v>12</v>
      </c>
      <c r="G885" s="2" t="s">
        <v>13</v>
      </c>
      <c r="H885" t="s">
        <v>14</v>
      </c>
      <c r="I885" s="1">
        <v>46086</v>
      </c>
      <c r="J885" t="s">
        <v>1578</v>
      </c>
    </row>
    <row r="886" spans="1:10" x14ac:dyDescent="0.25">
      <c r="A886" s="3">
        <v>46086</v>
      </c>
      <c r="B886" s="5" t="s">
        <v>384</v>
      </c>
      <c r="C886" s="5" t="s">
        <v>384</v>
      </c>
      <c r="D886" s="5" t="s">
        <v>1575</v>
      </c>
      <c r="E886" s="4" t="str">
        <f>"0097165349124"</f>
        <v>0097165349124</v>
      </c>
      <c r="F886" s="2" t="s">
        <v>12</v>
      </c>
      <c r="G886" s="2" t="s">
        <v>13</v>
      </c>
      <c r="H886" t="s">
        <v>14</v>
      </c>
      <c r="I886" s="1">
        <v>46086</v>
      </c>
      <c r="J886" t="s">
        <v>1579</v>
      </c>
    </row>
    <row r="887" spans="1:10" x14ac:dyDescent="0.25">
      <c r="A887" s="3">
        <v>46086</v>
      </c>
      <c r="B887" s="5" t="s">
        <v>1580</v>
      </c>
      <c r="C887" s="5" t="s">
        <v>1580</v>
      </c>
      <c r="D887" s="5" t="s">
        <v>1575</v>
      </c>
      <c r="E887" s="4" t="str">
        <f>"0097165686151"</f>
        <v>0097165686151</v>
      </c>
      <c r="F887" s="2" t="s">
        <v>12</v>
      </c>
      <c r="G887" s="2" t="s">
        <v>13</v>
      </c>
      <c r="H887" t="s">
        <v>14</v>
      </c>
      <c r="I887" s="1">
        <v>46086</v>
      </c>
      <c r="J887" t="s">
        <v>1581</v>
      </c>
    </row>
    <row r="888" spans="1:10" x14ac:dyDescent="0.25">
      <c r="A888" s="3">
        <v>46086</v>
      </c>
      <c r="B888" s="5" t="s">
        <v>1582</v>
      </c>
      <c r="C888" s="5" t="s">
        <v>1582</v>
      </c>
      <c r="D888" s="5" t="s">
        <v>1575</v>
      </c>
      <c r="E888" s="4" t="str">
        <f>"00971529878762"</f>
        <v>00971529878762</v>
      </c>
      <c r="F888" s="2" t="s">
        <v>12</v>
      </c>
      <c r="G888" s="2" t="s">
        <v>13</v>
      </c>
      <c r="H888" t="s">
        <v>14</v>
      </c>
      <c r="I888" s="1">
        <v>46086</v>
      </c>
      <c r="J888" t="s">
        <v>1583</v>
      </c>
    </row>
    <row r="889" spans="1:10" x14ac:dyDescent="0.25">
      <c r="A889" s="3">
        <v>46086</v>
      </c>
      <c r="B889" s="5" t="s">
        <v>1584</v>
      </c>
      <c r="C889" s="5" t="s">
        <v>1584</v>
      </c>
      <c r="D889" s="5" t="s">
        <v>1575</v>
      </c>
      <c r="E889" s="4" t="str">
        <f>"00971556816835"</f>
        <v>00971556816835</v>
      </c>
      <c r="F889" s="2" t="s">
        <v>12</v>
      </c>
      <c r="G889" s="2" t="s">
        <v>13</v>
      </c>
      <c r="H889" t="s">
        <v>14</v>
      </c>
      <c r="I889" s="1">
        <v>46086</v>
      </c>
      <c r="J889" t="s">
        <v>1585</v>
      </c>
    </row>
    <row r="890" spans="1:10" x14ac:dyDescent="0.25">
      <c r="A890" s="3">
        <v>46086</v>
      </c>
      <c r="B890" s="5" t="s">
        <v>1586</v>
      </c>
      <c r="C890" s="5" t="s">
        <v>1586</v>
      </c>
      <c r="D890" s="5" t="s">
        <v>1575</v>
      </c>
      <c r="E890" s="4" t="str">
        <f>"0097165570460"</f>
        <v>0097165570460</v>
      </c>
      <c r="F890" s="2" t="s">
        <v>12</v>
      </c>
      <c r="G890" s="2" t="s">
        <v>13</v>
      </c>
      <c r="H890" t="s">
        <v>14</v>
      </c>
      <c r="I890" s="1">
        <v>46086</v>
      </c>
      <c r="J890" t="s">
        <v>1587</v>
      </c>
    </row>
    <row r="891" spans="1:10" x14ac:dyDescent="0.25">
      <c r="A891" s="3">
        <v>46086</v>
      </c>
      <c r="B891" s="5" t="s">
        <v>1588</v>
      </c>
      <c r="C891" s="5" t="s">
        <v>1588</v>
      </c>
      <c r="D891" s="5" t="s">
        <v>1575</v>
      </c>
      <c r="E891" s="4" t="str">
        <f>"0097165570383"</f>
        <v>0097165570383</v>
      </c>
      <c r="F891" s="2" t="s">
        <v>12</v>
      </c>
      <c r="G891" s="2" t="s">
        <v>13</v>
      </c>
      <c r="H891" t="s">
        <v>14</v>
      </c>
      <c r="I891" s="1">
        <v>46086</v>
      </c>
      <c r="J891" t="s">
        <v>1589</v>
      </c>
    </row>
    <row r="892" spans="1:10" x14ac:dyDescent="0.25">
      <c r="A892" s="3">
        <v>46086</v>
      </c>
      <c r="B892" s="5" t="s">
        <v>1590</v>
      </c>
      <c r="C892" s="5" t="s">
        <v>1590</v>
      </c>
      <c r="D892" s="5" t="s">
        <v>1575</v>
      </c>
      <c r="E892" s="4" t="str">
        <f>"00971502296962"</f>
        <v>00971502296962</v>
      </c>
      <c r="F892" s="2" t="s">
        <v>12</v>
      </c>
      <c r="G892" s="2" t="s">
        <v>13</v>
      </c>
      <c r="H892" t="s">
        <v>14</v>
      </c>
      <c r="I892" s="1">
        <v>46086</v>
      </c>
      <c r="J892" t="s">
        <v>1591</v>
      </c>
    </row>
    <row r="893" spans="1:10" x14ac:dyDescent="0.25">
      <c r="A893" s="3">
        <v>46086</v>
      </c>
      <c r="B893" s="5" t="s">
        <v>1590</v>
      </c>
      <c r="C893" s="5" t="s">
        <v>1590</v>
      </c>
      <c r="D893" s="5" t="s">
        <v>1575</v>
      </c>
      <c r="E893" s="4" t="str">
        <f>"0097165353462"</f>
        <v>0097165353462</v>
      </c>
      <c r="F893" s="2" t="s">
        <v>12</v>
      </c>
      <c r="G893" s="2" t="s">
        <v>13</v>
      </c>
      <c r="H893" t="s">
        <v>14</v>
      </c>
      <c r="I893" s="1">
        <v>46086</v>
      </c>
      <c r="J893" t="s">
        <v>1592</v>
      </c>
    </row>
    <row r="894" spans="1:10" x14ac:dyDescent="0.25">
      <c r="A894" s="3">
        <v>46086</v>
      </c>
      <c r="B894" s="5" t="s">
        <v>1593</v>
      </c>
      <c r="C894" s="5" t="s">
        <v>1593</v>
      </c>
      <c r="D894" s="5" t="s">
        <v>1575</v>
      </c>
      <c r="E894" s="4" t="str">
        <f>"0097165579579"</f>
        <v>0097165579579</v>
      </c>
      <c r="F894" s="2" t="s">
        <v>12</v>
      </c>
      <c r="G894" s="2" t="s">
        <v>13</v>
      </c>
      <c r="H894" t="s">
        <v>14</v>
      </c>
      <c r="I894" s="1">
        <v>46086</v>
      </c>
      <c r="J894" t="s">
        <v>1594</v>
      </c>
    </row>
    <row r="895" spans="1:10" x14ac:dyDescent="0.25">
      <c r="A895" s="3">
        <v>46086</v>
      </c>
      <c r="B895" s="5" t="s">
        <v>1595</v>
      </c>
      <c r="C895" s="5" t="s">
        <v>1595</v>
      </c>
      <c r="D895" s="5" t="s">
        <v>1575</v>
      </c>
      <c r="E895" s="4" t="str">
        <f>"0097165433224"</f>
        <v>0097165433224</v>
      </c>
      <c r="F895" s="2" t="s">
        <v>12</v>
      </c>
      <c r="G895" s="2" t="s">
        <v>13</v>
      </c>
      <c r="H895" t="s">
        <v>14</v>
      </c>
      <c r="I895" s="1">
        <v>46086</v>
      </c>
      <c r="J895" t="s">
        <v>1596</v>
      </c>
    </row>
    <row r="896" spans="1:10" x14ac:dyDescent="0.25">
      <c r="A896" s="3">
        <v>46086</v>
      </c>
      <c r="B896" s="5" t="s">
        <v>1597</v>
      </c>
      <c r="C896" s="5" t="s">
        <v>1597</v>
      </c>
      <c r="D896" s="5" t="s">
        <v>1575</v>
      </c>
      <c r="E896" s="4" t="str">
        <f>"00971565997738"</f>
        <v>00971565997738</v>
      </c>
      <c r="F896" s="2" t="s">
        <v>12</v>
      </c>
      <c r="G896" s="2" t="s">
        <v>13</v>
      </c>
      <c r="H896" t="s">
        <v>14</v>
      </c>
      <c r="I896" s="1">
        <v>46086</v>
      </c>
      <c r="J896" t="s">
        <v>1598</v>
      </c>
    </row>
    <row r="897" spans="1:10" x14ac:dyDescent="0.25">
      <c r="A897" s="3">
        <v>46086</v>
      </c>
      <c r="B897" s="5" t="s">
        <v>1597</v>
      </c>
      <c r="C897" s="5" t="s">
        <v>1597</v>
      </c>
      <c r="D897" s="5" t="s">
        <v>1575</v>
      </c>
      <c r="E897" s="4" t="str">
        <f>"0097165422232"</f>
        <v>0097165422232</v>
      </c>
      <c r="F897" s="2" t="s">
        <v>12</v>
      </c>
      <c r="G897" s="2" t="s">
        <v>13</v>
      </c>
      <c r="H897" t="s">
        <v>14</v>
      </c>
      <c r="I897" s="1">
        <v>46086</v>
      </c>
      <c r="J897" t="s">
        <v>1599</v>
      </c>
    </row>
    <row r="898" spans="1:10" x14ac:dyDescent="0.25">
      <c r="A898" s="3">
        <v>46086</v>
      </c>
      <c r="B898" s="5" t="s">
        <v>1600</v>
      </c>
      <c r="C898" s="5" t="s">
        <v>1600</v>
      </c>
      <c r="D898" s="5" t="s">
        <v>1575</v>
      </c>
      <c r="E898" s="4" t="str">
        <f>"00971502877001"</f>
        <v>00971502877001</v>
      </c>
      <c r="F898" s="2" t="s">
        <v>12</v>
      </c>
      <c r="G898" s="2" t="s">
        <v>13</v>
      </c>
      <c r="H898" t="s">
        <v>14</v>
      </c>
      <c r="I898" s="1">
        <v>46086</v>
      </c>
      <c r="J898" t="s">
        <v>1601</v>
      </c>
    </row>
    <row r="899" spans="1:10" x14ac:dyDescent="0.25">
      <c r="A899" s="3">
        <v>46086</v>
      </c>
      <c r="B899" s="5" t="s">
        <v>1602</v>
      </c>
      <c r="C899" s="5" t="s">
        <v>1602</v>
      </c>
      <c r="D899" s="5" t="s">
        <v>1575</v>
      </c>
      <c r="E899" s="4" t="str">
        <f>"0097165661197"</f>
        <v>0097165661197</v>
      </c>
      <c r="F899" s="2" t="s">
        <v>12</v>
      </c>
      <c r="G899" s="2" t="s">
        <v>13</v>
      </c>
      <c r="H899" t="s">
        <v>14</v>
      </c>
      <c r="I899" s="1">
        <v>46086</v>
      </c>
      <c r="J899" t="s">
        <v>1603</v>
      </c>
    </row>
    <row r="900" spans="1:10" x14ac:dyDescent="0.25">
      <c r="A900" s="3">
        <v>46086</v>
      </c>
      <c r="B900" s="5" t="s">
        <v>1604</v>
      </c>
      <c r="C900" s="5" t="s">
        <v>1604</v>
      </c>
      <c r="D900" s="5" t="s">
        <v>1575</v>
      </c>
      <c r="E900" s="4" t="str">
        <f>"0097165658008"</f>
        <v>0097165658008</v>
      </c>
      <c r="F900" s="2" t="s">
        <v>12</v>
      </c>
      <c r="G900" s="2" t="s">
        <v>13</v>
      </c>
      <c r="H900" t="s">
        <v>14</v>
      </c>
      <c r="I900" s="1">
        <v>46086</v>
      </c>
      <c r="J900" t="s">
        <v>1605</v>
      </c>
    </row>
    <row r="901" spans="1:10" x14ac:dyDescent="0.25">
      <c r="A901" s="3">
        <v>46086</v>
      </c>
      <c r="B901" s="5" t="s">
        <v>1606</v>
      </c>
      <c r="C901" s="5" t="s">
        <v>1606</v>
      </c>
      <c r="D901" s="5" t="s">
        <v>1575</v>
      </c>
      <c r="E901" s="4" t="str">
        <f>"0097165578676"</f>
        <v>0097165578676</v>
      </c>
      <c r="F901" s="2" t="s">
        <v>12</v>
      </c>
      <c r="G901" s="2" t="s">
        <v>13</v>
      </c>
      <c r="H901" t="s">
        <v>14</v>
      </c>
      <c r="I901" s="1">
        <v>46086</v>
      </c>
      <c r="J901" t="s">
        <v>1607</v>
      </c>
    </row>
    <row r="902" spans="1:10" x14ac:dyDescent="0.25">
      <c r="A902" s="3">
        <v>46086</v>
      </c>
      <c r="B902" s="5" t="s">
        <v>1608</v>
      </c>
      <c r="C902" s="5" t="s">
        <v>1608</v>
      </c>
      <c r="D902" s="5" t="s">
        <v>1575</v>
      </c>
      <c r="E902" s="4" t="str">
        <f>"0097165528530"</f>
        <v>0097165528530</v>
      </c>
      <c r="F902" s="2" t="s">
        <v>12</v>
      </c>
      <c r="G902" s="2" t="s">
        <v>13</v>
      </c>
      <c r="H902" t="s">
        <v>14</v>
      </c>
      <c r="I902" s="1">
        <v>46086</v>
      </c>
      <c r="J902" t="s">
        <v>1609</v>
      </c>
    </row>
    <row r="903" spans="1:10" x14ac:dyDescent="0.25">
      <c r="A903" s="3">
        <v>46086</v>
      </c>
      <c r="B903" s="5" t="s">
        <v>1610</v>
      </c>
      <c r="C903" s="5" t="s">
        <v>1610</v>
      </c>
      <c r="D903" s="5" t="s">
        <v>1575</v>
      </c>
      <c r="E903" s="4" t="str">
        <f>"0097165586615"</f>
        <v>0097165586615</v>
      </c>
      <c r="F903" s="2" t="s">
        <v>12</v>
      </c>
      <c r="G903" s="2" t="s">
        <v>13</v>
      </c>
      <c r="H903" t="s">
        <v>14</v>
      </c>
      <c r="I903" s="1">
        <v>46086</v>
      </c>
      <c r="J903" t="s">
        <v>1611</v>
      </c>
    </row>
    <row r="904" spans="1:10" x14ac:dyDescent="0.25">
      <c r="A904" s="3">
        <v>46086</v>
      </c>
      <c r="B904" s="5" t="s">
        <v>1612</v>
      </c>
      <c r="C904" s="5" t="s">
        <v>1612</v>
      </c>
      <c r="D904" s="5" t="s">
        <v>1575</v>
      </c>
      <c r="E904" s="4" t="str">
        <f>"0097165616839"</f>
        <v>0097165616839</v>
      </c>
      <c r="F904" s="2" t="s">
        <v>12</v>
      </c>
      <c r="G904" s="2" t="s">
        <v>13</v>
      </c>
      <c r="H904" t="s">
        <v>14</v>
      </c>
      <c r="I904" s="1">
        <v>46086</v>
      </c>
      <c r="J904" t="s">
        <v>1613</v>
      </c>
    </row>
    <row r="905" spans="1:10" x14ac:dyDescent="0.25">
      <c r="A905" s="3">
        <v>46086</v>
      </c>
      <c r="B905" s="5" t="s">
        <v>1614</v>
      </c>
      <c r="C905" s="5" t="s">
        <v>1614</v>
      </c>
      <c r="D905" s="5" t="s">
        <v>1575</v>
      </c>
      <c r="E905" s="4" t="str">
        <f>"0097165435751"</f>
        <v>0097165435751</v>
      </c>
      <c r="F905" s="2" t="s">
        <v>12</v>
      </c>
      <c r="G905" s="2" t="s">
        <v>13</v>
      </c>
      <c r="H905" t="s">
        <v>14</v>
      </c>
      <c r="I905" s="1">
        <v>46086</v>
      </c>
      <c r="J905" t="s">
        <v>1615</v>
      </c>
    </row>
    <row r="906" spans="1:10" x14ac:dyDescent="0.25">
      <c r="A906" s="3">
        <v>46086</v>
      </c>
      <c r="B906" s="5" t="s">
        <v>768</v>
      </c>
      <c r="C906" s="5" t="s">
        <v>768</v>
      </c>
      <c r="D906" s="5" t="s">
        <v>1575</v>
      </c>
      <c r="E906" s="4" t="str">
        <f>"0097165617788"</f>
        <v>0097165617788</v>
      </c>
      <c r="F906" s="2" t="s">
        <v>12</v>
      </c>
      <c r="G906" s="2" t="s">
        <v>13</v>
      </c>
      <c r="H906" t="s">
        <v>14</v>
      </c>
      <c r="I906" s="1">
        <v>46086</v>
      </c>
      <c r="J906" t="s">
        <v>1616</v>
      </c>
    </row>
    <row r="907" spans="1:10" x14ac:dyDescent="0.25">
      <c r="A907" s="3">
        <v>46086</v>
      </c>
      <c r="B907" s="5" t="s">
        <v>1617</v>
      </c>
      <c r="C907" s="5" t="s">
        <v>1617</v>
      </c>
      <c r="D907" s="5" t="s">
        <v>1575</v>
      </c>
      <c r="E907" s="4" t="str">
        <f>"0097165314212"</f>
        <v>0097165314212</v>
      </c>
      <c r="F907" s="2" t="s">
        <v>12</v>
      </c>
      <c r="G907" s="2" t="s">
        <v>13</v>
      </c>
      <c r="H907" t="s">
        <v>14</v>
      </c>
      <c r="I907" s="1">
        <v>46086</v>
      </c>
      <c r="J907" t="s">
        <v>1618</v>
      </c>
    </row>
    <row r="908" spans="1:10" x14ac:dyDescent="0.25">
      <c r="A908" s="3">
        <v>46086</v>
      </c>
      <c r="B908" s="5" t="s">
        <v>1619</v>
      </c>
      <c r="C908" s="5" t="s">
        <v>1619</v>
      </c>
      <c r="D908" s="5" t="s">
        <v>1575</v>
      </c>
      <c r="E908" s="4" t="str">
        <f>"0097165444400"</f>
        <v>0097165444400</v>
      </c>
      <c r="F908" s="2" t="s">
        <v>12</v>
      </c>
      <c r="G908" s="2" t="s">
        <v>13</v>
      </c>
      <c r="H908" t="s">
        <v>14</v>
      </c>
      <c r="I908" s="1">
        <v>46086</v>
      </c>
      <c r="J908" t="s">
        <v>1620</v>
      </c>
    </row>
    <row r="909" spans="1:10" x14ac:dyDescent="0.25">
      <c r="A909" s="3">
        <v>46086</v>
      </c>
      <c r="B909" s="5" t="s">
        <v>1621</v>
      </c>
      <c r="C909" s="5" t="s">
        <v>1621</v>
      </c>
      <c r="D909" s="5" t="s">
        <v>1575</v>
      </c>
      <c r="E909" s="4" t="str">
        <f>"0097165755786"</f>
        <v>0097165755786</v>
      </c>
      <c r="F909" s="2" t="s">
        <v>12</v>
      </c>
      <c r="G909" s="2" t="s">
        <v>13</v>
      </c>
      <c r="H909" t="s">
        <v>14</v>
      </c>
      <c r="I909" s="1">
        <v>46086</v>
      </c>
      <c r="J909" t="s">
        <v>1622</v>
      </c>
    </row>
    <row r="910" spans="1:10" x14ac:dyDescent="0.25">
      <c r="A910" s="3">
        <v>46086</v>
      </c>
      <c r="B910" s="5" t="s">
        <v>1623</v>
      </c>
      <c r="C910" s="5" t="s">
        <v>1623</v>
      </c>
      <c r="D910" s="5" t="s">
        <v>1575</v>
      </c>
      <c r="E910" s="4" t="str">
        <f>"00971503025706"</f>
        <v>00971503025706</v>
      </c>
      <c r="F910" s="2" t="s">
        <v>12</v>
      </c>
      <c r="G910" s="2" t="s">
        <v>13</v>
      </c>
      <c r="H910" t="s">
        <v>14</v>
      </c>
      <c r="I910" s="1">
        <v>46086</v>
      </c>
      <c r="J910" t="s">
        <v>1624</v>
      </c>
    </row>
    <row r="911" spans="1:10" x14ac:dyDescent="0.25">
      <c r="A911" s="3">
        <v>46086</v>
      </c>
      <c r="B911" s="5" t="s">
        <v>1625</v>
      </c>
      <c r="C911" s="5" t="s">
        <v>1625</v>
      </c>
      <c r="D911" s="5" t="s">
        <v>1575</v>
      </c>
      <c r="E911" s="4" t="str">
        <f>"0097165432657"</f>
        <v>0097165432657</v>
      </c>
      <c r="F911" s="2" t="s">
        <v>12</v>
      </c>
      <c r="G911" s="2" t="s">
        <v>13</v>
      </c>
      <c r="H911" t="s">
        <v>14</v>
      </c>
      <c r="I911" s="1">
        <v>46086</v>
      </c>
      <c r="J911" t="s">
        <v>1626</v>
      </c>
    </row>
    <row r="912" spans="1:10" x14ac:dyDescent="0.25">
      <c r="A912" s="3">
        <v>46086</v>
      </c>
      <c r="B912" s="5" t="s">
        <v>90</v>
      </c>
      <c r="C912" s="5" t="s">
        <v>90</v>
      </c>
      <c r="D912" s="5" t="s">
        <v>1575</v>
      </c>
      <c r="E912" s="4" t="str">
        <f>"0097165456161"</f>
        <v>0097165456161</v>
      </c>
      <c r="F912" s="2" t="s">
        <v>12</v>
      </c>
      <c r="G912" s="2" t="s">
        <v>13</v>
      </c>
      <c r="H912" t="s">
        <v>14</v>
      </c>
      <c r="I912" s="1">
        <v>46086</v>
      </c>
      <c r="J912" t="s">
        <v>1627</v>
      </c>
    </row>
    <row r="913" spans="1:10" x14ac:dyDescent="0.25">
      <c r="A913" s="3">
        <v>46086</v>
      </c>
      <c r="B913" s="5" t="s">
        <v>1628</v>
      </c>
      <c r="C913" s="5" t="s">
        <v>1628</v>
      </c>
      <c r="D913" s="5" t="s">
        <v>1575</v>
      </c>
      <c r="E913" s="4" t="str">
        <f>"0097165311139"</f>
        <v>0097165311139</v>
      </c>
      <c r="F913" s="2" t="s">
        <v>12</v>
      </c>
      <c r="G913" s="2" t="s">
        <v>13</v>
      </c>
      <c r="H913" t="s">
        <v>14</v>
      </c>
      <c r="I913" s="1">
        <v>46086</v>
      </c>
      <c r="J913" t="s">
        <v>1629</v>
      </c>
    </row>
    <row r="914" spans="1:10" x14ac:dyDescent="0.25">
      <c r="A914" s="3">
        <v>46086</v>
      </c>
      <c r="B914" s="5" t="s">
        <v>1630</v>
      </c>
      <c r="C914" s="5" t="s">
        <v>1630</v>
      </c>
      <c r="D914" s="5" t="s">
        <v>1575</v>
      </c>
      <c r="E914" s="4" t="str">
        <f>"0097145837990"</f>
        <v>0097145837990</v>
      </c>
      <c r="F914" s="2" t="s">
        <v>12</v>
      </c>
      <c r="G914" s="2" t="s">
        <v>13</v>
      </c>
      <c r="H914" t="s">
        <v>14</v>
      </c>
      <c r="I914" s="1">
        <v>46086</v>
      </c>
      <c r="J914" t="s">
        <v>1631</v>
      </c>
    </row>
    <row r="915" spans="1:10" x14ac:dyDescent="0.25">
      <c r="A915" s="3">
        <v>46086</v>
      </c>
      <c r="B915" s="5" t="s">
        <v>1630</v>
      </c>
      <c r="C915" s="5" t="s">
        <v>1630</v>
      </c>
      <c r="D915" s="5" t="s">
        <v>1575</v>
      </c>
      <c r="E915" s="4" t="str">
        <f>"00971569165750"</f>
        <v>00971569165750</v>
      </c>
      <c r="F915" s="2" t="s">
        <v>12</v>
      </c>
      <c r="G915" s="2" t="s">
        <v>13</v>
      </c>
      <c r="H915" t="s">
        <v>14</v>
      </c>
      <c r="I915" s="1">
        <v>46086</v>
      </c>
      <c r="J915" t="s">
        <v>1632</v>
      </c>
    </row>
    <row r="916" spans="1:10" x14ac:dyDescent="0.25">
      <c r="A916" s="3">
        <v>46086</v>
      </c>
      <c r="B916" s="5" t="s">
        <v>1633</v>
      </c>
      <c r="C916" s="5" t="s">
        <v>1633</v>
      </c>
      <c r="D916" s="5" t="s">
        <v>1575</v>
      </c>
      <c r="E916" s="4" t="str">
        <f>"0097165324724"</f>
        <v>0097165324724</v>
      </c>
      <c r="F916" s="2" t="s">
        <v>12</v>
      </c>
      <c r="G916" s="2" t="s">
        <v>13</v>
      </c>
      <c r="H916" t="s">
        <v>14</v>
      </c>
      <c r="I916" s="1">
        <v>46086</v>
      </c>
      <c r="J916" t="s">
        <v>1634</v>
      </c>
    </row>
    <row r="917" spans="1:10" x14ac:dyDescent="0.25">
      <c r="A917" s="3">
        <v>46086</v>
      </c>
      <c r="B917" s="5" t="s">
        <v>895</v>
      </c>
      <c r="C917" s="5" t="s">
        <v>895</v>
      </c>
      <c r="D917" s="5" t="s">
        <v>1575</v>
      </c>
      <c r="E917" s="4" t="str">
        <f>"00971502152960"</f>
        <v>00971502152960</v>
      </c>
      <c r="F917" s="2" t="s">
        <v>12</v>
      </c>
      <c r="G917" s="2" t="s">
        <v>13</v>
      </c>
      <c r="H917" t="s">
        <v>14</v>
      </c>
      <c r="I917" s="1">
        <v>46086</v>
      </c>
      <c r="J917" t="s">
        <v>1635</v>
      </c>
    </row>
    <row r="918" spans="1:10" x14ac:dyDescent="0.25">
      <c r="A918" s="3">
        <v>46086</v>
      </c>
      <c r="B918" s="5" t="s">
        <v>895</v>
      </c>
      <c r="C918" s="5" t="s">
        <v>895</v>
      </c>
      <c r="D918" s="5" t="s">
        <v>1575</v>
      </c>
      <c r="E918" s="4" t="str">
        <f>"0097165570560"</f>
        <v>0097165570560</v>
      </c>
      <c r="F918" s="2" t="s">
        <v>12</v>
      </c>
      <c r="G918" s="2" t="s">
        <v>13</v>
      </c>
      <c r="H918" t="s">
        <v>14</v>
      </c>
      <c r="I918" s="1">
        <v>46086</v>
      </c>
      <c r="J918" t="s">
        <v>1636</v>
      </c>
    </row>
    <row r="919" spans="1:10" x14ac:dyDescent="0.25">
      <c r="A919" s="3">
        <v>46086</v>
      </c>
      <c r="B919" s="5" t="s">
        <v>1637</v>
      </c>
      <c r="C919" s="5" t="s">
        <v>1637</v>
      </c>
      <c r="D919" s="5" t="s">
        <v>1575</v>
      </c>
      <c r="E919" s="4" t="str">
        <f>"00971509888650"</f>
        <v>00971509888650</v>
      </c>
      <c r="F919" s="2" t="s">
        <v>12</v>
      </c>
      <c r="G919" s="2" t="s">
        <v>13</v>
      </c>
      <c r="H919" t="s">
        <v>14</v>
      </c>
      <c r="I919" s="1">
        <v>46086</v>
      </c>
      <c r="J919" t="s">
        <v>1638</v>
      </c>
    </row>
    <row r="920" spans="1:10" x14ac:dyDescent="0.25">
      <c r="A920" s="3">
        <v>46086</v>
      </c>
      <c r="B920" s="5" t="s">
        <v>1639</v>
      </c>
      <c r="C920" s="5" t="s">
        <v>1639</v>
      </c>
      <c r="D920" s="5" t="s">
        <v>1575</v>
      </c>
      <c r="E920" s="4" t="str">
        <f>"0097165526094"</f>
        <v>0097165526094</v>
      </c>
      <c r="F920" s="2" t="s">
        <v>12</v>
      </c>
      <c r="G920" s="2" t="s">
        <v>13</v>
      </c>
      <c r="H920" t="s">
        <v>14</v>
      </c>
      <c r="I920" s="1">
        <v>46086</v>
      </c>
      <c r="J920" t="s">
        <v>1640</v>
      </c>
    </row>
    <row r="921" spans="1:10" x14ac:dyDescent="0.25">
      <c r="A921" s="3">
        <v>46086</v>
      </c>
      <c r="B921" s="5" t="s">
        <v>1641</v>
      </c>
      <c r="C921" s="5" t="s">
        <v>1641</v>
      </c>
      <c r="D921" s="5" t="s">
        <v>1575</v>
      </c>
      <c r="E921" s="4" t="str">
        <f>"0097165323080"</f>
        <v>0097165323080</v>
      </c>
      <c r="F921" s="2" t="s">
        <v>12</v>
      </c>
      <c r="G921" s="2" t="s">
        <v>13</v>
      </c>
      <c r="H921" t="s">
        <v>14</v>
      </c>
      <c r="I921" s="1">
        <v>46086</v>
      </c>
      <c r="J921" t="s">
        <v>1642</v>
      </c>
    </row>
    <row r="922" spans="1:10" x14ac:dyDescent="0.25">
      <c r="A922" s="3">
        <v>46086</v>
      </c>
      <c r="B922" s="5" t="s">
        <v>1643</v>
      </c>
      <c r="C922" s="5" t="s">
        <v>1643</v>
      </c>
      <c r="D922" s="5" t="s">
        <v>1575</v>
      </c>
      <c r="E922" s="4" t="str">
        <f>"00971589267740"</f>
        <v>00971589267740</v>
      </c>
      <c r="F922" s="2" t="s">
        <v>12</v>
      </c>
      <c r="G922" s="2" t="s">
        <v>13</v>
      </c>
      <c r="H922" t="s">
        <v>14</v>
      </c>
      <c r="I922" s="1">
        <v>46086</v>
      </c>
      <c r="J922" t="s">
        <v>1644</v>
      </c>
    </row>
    <row r="923" spans="1:10" x14ac:dyDescent="0.25">
      <c r="A923" s="3">
        <v>46086</v>
      </c>
      <c r="B923" s="5" t="s">
        <v>1645</v>
      </c>
      <c r="C923" s="5" t="s">
        <v>1645</v>
      </c>
      <c r="D923" s="5" t="s">
        <v>1575</v>
      </c>
      <c r="E923" s="4" t="str">
        <f>"00971508577954"</f>
        <v>00971508577954</v>
      </c>
      <c r="F923" s="2" t="s">
        <v>12</v>
      </c>
      <c r="G923" s="2" t="s">
        <v>13</v>
      </c>
      <c r="H923" t="s">
        <v>14</v>
      </c>
      <c r="I923" s="1">
        <v>46086</v>
      </c>
      <c r="J923" t="s">
        <v>1646</v>
      </c>
    </row>
    <row r="924" spans="1:10" x14ac:dyDescent="0.25">
      <c r="A924" s="3">
        <v>46086</v>
      </c>
      <c r="B924" s="5" t="s">
        <v>1645</v>
      </c>
      <c r="C924" s="5" t="s">
        <v>1645</v>
      </c>
      <c r="D924" s="5" t="s">
        <v>1575</v>
      </c>
      <c r="E924" s="4" t="str">
        <f>"0097165210352"</f>
        <v>0097165210352</v>
      </c>
      <c r="F924" s="2" t="s">
        <v>12</v>
      </c>
      <c r="G924" s="2" t="s">
        <v>13</v>
      </c>
      <c r="H924" t="s">
        <v>14</v>
      </c>
      <c r="I924" s="1">
        <v>46086</v>
      </c>
      <c r="J924" t="s">
        <v>1647</v>
      </c>
    </row>
    <row r="925" spans="1:10" x14ac:dyDescent="0.25">
      <c r="A925" s="3">
        <v>46086</v>
      </c>
      <c r="B925" s="5" t="s">
        <v>1648</v>
      </c>
      <c r="C925" s="5" t="s">
        <v>1648</v>
      </c>
      <c r="D925" s="5" t="s">
        <v>1575</v>
      </c>
      <c r="E925" s="4" t="str">
        <f>"00971506710872"</f>
        <v>00971506710872</v>
      </c>
      <c r="F925" s="2" t="s">
        <v>12</v>
      </c>
      <c r="G925" s="2" t="s">
        <v>13</v>
      </c>
      <c r="H925" t="s">
        <v>14</v>
      </c>
      <c r="I925" s="1">
        <v>46086</v>
      </c>
      <c r="J925" t="s">
        <v>1649</v>
      </c>
    </row>
    <row r="926" spans="1:10" x14ac:dyDescent="0.25">
      <c r="A926" s="3">
        <v>46086</v>
      </c>
      <c r="B926" s="5" t="s">
        <v>1650</v>
      </c>
      <c r="C926" s="5" t="s">
        <v>1650</v>
      </c>
      <c r="D926" s="5" t="s">
        <v>1575</v>
      </c>
      <c r="E926" s="4" t="str">
        <f>"0097165570713"</f>
        <v>0097165570713</v>
      </c>
      <c r="F926" s="2" t="s">
        <v>12</v>
      </c>
      <c r="G926" s="2" t="s">
        <v>13</v>
      </c>
      <c r="H926" t="s">
        <v>14</v>
      </c>
      <c r="I926" s="1">
        <v>46086</v>
      </c>
      <c r="J926" t="s">
        <v>1651</v>
      </c>
    </row>
    <row r="927" spans="1:10" x14ac:dyDescent="0.25">
      <c r="A927" s="3">
        <v>46086</v>
      </c>
      <c r="B927" s="5" t="s">
        <v>1652</v>
      </c>
      <c r="C927" s="5" t="s">
        <v>1652</v>
      </c>
      <c r="D927" s="5" t="s">
        <v>1575</v>
      </c>
      <c r="E927" s="4" t="str">
        <f>"0097165342603"</f>
        <v>0097165342603</v>
      </c>
      <c r="F927" s="2" t="s">
        <v>12</v>
      </c>
      <c r="G927" s="2" t="s">
        <v>13</v>
      </c>
      <c r="H927" t="s">
        <v>14</v>
      </c>
      <c r="I927" s="1">
        <v>46086</v>
      </c>
      <c r="J927" t="s">
        <v>1653</v>
      </c>
    </row>
    <row r="928" spans="1:10" x14ac:dyDescent="0.25">
      <c r="A928" s="3">
        <v>46086</v>
      </c>
      <c r="B928" s="5" t="s">
        <v>1534</v>
      </c>
      <c r="C928" s="5" t="s">
        <v>1534</v>
      </c>
      <c r="D928" s="5" t="s">
        <v>1575</v>
      </c>
      <c r="E928" s="4" t="str">
        <f>"0097165342603"</f>
        <v>0097165342603</v>
      </c>
      <c r="F928" s="2" t="s">
        <v>12</v>
      </c>
      <c r="G928" s="2" t="s">
        <v>13</v>
      </c>
      <c r="H928" t="s">
        <v>14</v>
      </c>
      <c r="I928" s="1">
        <v>46086</v>
      </c>
      <c r="J928" t="s">
        <v>1654</v>
      </c>
    </row>
    <row r="929" spans="1:10" x14ac:dyDescent="0.25">
      <c r="A929" s="3">
        <v>46086</v>
      </c>
      <c r="B929" s="5" t="s">
        <v>1655</v>
      </c>
      <c r="C929" s="5" t="s">
        <v>1655</v>
      </c>
      <c r="D929" s="5" t="s">
        <v>1575</v>
      </c>
      <c r="E929" s="4" t="str">
        <f>"00971522856364"</f>
        <v>00971522856364</v>
      </c>
      <c r="F929" s="2" t="s">
        <v>12</v>
      </c>
      <c r="G929" s="2" t="s">
        <v>13</v>
      </c>
      <c r="H929" t="s">
        <v>14</v>
      </c>
      <c r="I929" s="1">
        <v>46086</v>
      </c>
      <c r="J929" t="s">
        <v>1656</v>
      </c>
    </row>
    <row r="930" spans="1:10" x14ac:dyDescent="0.25">
      <c r="A930" s="3">
        <v>46086</v>
      </c>
      <c r="B930" s="5" t="s">
        <v>1655</v>
      </c>
      <c r="C930" s="5" t="s">
        <v>1655</v>
      </c>
      <c r="D930" s="5" t="s">
        <v>1575</v>
      </c>
      <c r="E930" s="4" t="str">
        <f>"00971544110353"</f>
        <v>00971544110353</v>
      </c>
      <c r="F930" s="2" t="s">
        <v>12</v>
      </c>
      <c r="G930" s="2" t="s">
        <v>13</v>
      </c>
      <c r="H930" t="s">
        <v>14</v>
      </c>
      <c r="I930" s="1">
        <v>46086</v>
      </c>
      <c r="J930" t="s">
        <v>1656</v>
      </c>
    </row>
    <row r="931" spans="1:10" x14ac:dyDescent="0.25">
      <c r="A931" s="3">
        <v>46086</v>
      </c>
      <c r="B931" s="5" t="s">
        <v>1657</v>
      </c>
      <c r="C931" s="5" t="s">
        <v>1657</v>
      </c>
      <c r="D931" s="5" t="s">
        <v>1575</v>
      </c>
      <c r="E931" s="4" t="str">
        <f>"00971561217085"</f>
        <v>00971561217085</v>
      </c>
      <c r="F931" s="2" t="s">
        <v>12</v>
      </c>
      <c r="G931" s="2" t="s">
        <v>13</v>
      </c>
      <c r="H931" t="s">
        <v>14</v>
      </c>
      <c r="I931" s="1">
        <v>46086</v>
      </c>
      <c r="J931" t="s">
        <v>1658</v>
      </c>
    </row>
    <row r="932" spans="1:10" x14ac:dyDescent="0.25">
      <c r="A932" s="3">
        <v>46086</v>
      </c>
      <c r="B932" s="5" t="s">
        <v>1657</v>
      </c>
      <c r="C932" s="5" t="s">
        <v>1657</v>
      </c>
      <c r="D932" s="5" t="s">
        <v>1575</v>
      </c>
      <c r="E932" s="4" t="str">
        <f>"0097165520485"</f>
        <v>0097165520485</v>
      </c>
      <c r="F932" s="2" t="s">
        <v>12</v>
      </c>
      <c r="G932" s="2" t="s">
        <v>13</v>
      </c>
      <c r="H932" t="s">
        <v>14</v>
      </c>
      <c r="I932" s="1">
        <v>46086</v>
      </c>
      <c r="J932" t="s">
        <v>1659</v>
      </c>
    </row>
    <row r="933" spans="1:10" x14ac:dyDescent="0.25">
      <c r="A933" s="3">
        <v>46086</v>
      </c>
      <c r="B933" s="5" t="s">
        <v>1660</v>
      </c>
      <c r="C933" s="5" t="s">
        <v>1660</v>
      </c>
      <c r="D933" s="5" t="s">
        <v>1575</v>
      </c>
      <c r="E933" s="4" t="str">
        <f>"00971556542629"</f>
        <v>00971556542629</v>
      </c>
      <c r="F933" s="2" t="s">
        <v>12</v>
      </c>
      <c r="G933" s="2" t="s">
        <v>13</v>
      </c>
      <c r="H933" t="s">
        <v>14</v>
      </c>
      <c r="I933" s="1">
        <v>46086</v>
      </c>
      <c r="J933" t="s">
        <v>1661</v>
      </c>
    </row>
    <row r="934" spans="1:10" x14ac:dyDescent="0.25">
      <c r="A934" s="3">
        <v>46086</v>
      </c>
      <c r="B934" s="5" t="s">
        <v>1660</v>
      </c>
      <c r="C934" s="5" t="s">
        <v>1660</v>
      </c>
      <c r="D934" s="5" t="s">
        <v>1575</v>
      </c>
      <c r="E934" s="4" t="str">
        <f>"00971556807313"</f>
        <v>00971556807313</v>
      </c>
      <c r="F934" s="2" t="s">
        <v>12</v>
      </c>
      <c r="G934" s="2" t="s">
        <v>13</v>
      </c>
      <c r="H934" t="s">
        <v>14</v>
      </c>
      <c r="I934" s="1">
        <v>46086</v>
      </c>
      <c r="J934" t="s">
        <v>1661</v>
      </c>
    </row>
    <row r="935" spans="1:10" x14ac:dyDescent="0.25">
      <c r="A935" s="3">
        <v>46086</v>
      </c>
      <c r="B935" s="5" t="s">
        <v>1662</v>
      </c>
      <c r="C935" s="5" t="s">
        <v>1662</v>
      </c>
      <c r="D935" s="5" t="s">
        <v>1575</v>
      </c>
      <c r="E935" s="4" t="str">
        <f>"00971528154590"</f>
        <v>00971528154590</v>
      </c>
      <c r="F935" s="2" t="s">
        <v>12</v>
      </c>
      <c r="G935" s="2" t="s">
        <v>13</v>
      </c>
      <c r="H935" t="s">
        <v>14</v>
      </c>
      <c r="I935" s="1">
        <v>46086</v>
      </c>
      <c r="J935" t="s">
        <v>1663</v>
      </c>
    </row>
    <row r="936" spans="1:10" x14ac:dyDescent="0.25">
      <c r="A936" s="3">
        <v>46086</v>
      </c>
      <c r="B936" s="5" t="s">
        <v>1664</v>
      </c>
      <c r="C936" s="5" t="s">
        <v>1664</v>
      </c>
      <c r="D936" s="5" t="s">
        <v>1575</v>
      </c>
      <c r="E936" s="4" t="str">
        <f>"0097165235550"</f>
        <v>0097165235550</v>
      </c>
      <c r="F936" s="2" t="s">
        <v>12</v>
      </c>
      <c r="G936" s="2" t="s">
        <v>13</v>
      </c>
      <c r="H936" t="s">
        <v>14</v>
      </c>
      <c r="I936" s="1">
        <v>46086</v>
      </c>
      <c r="J936" t="s">
        <v>1665</v>
      </c>
    </row>
    <row r="937" spans="1:10" x14ac:dyDescent="0.25">
      <c r="A937" s="3">
        <v>46086</v>
      </c>
      <c r="B937" s="5" t="s">
        <v>1666</v>
      </c>
      <c r="C937" s="5" t="s">
        <v>1666</v>
      </c>
      <c r="D937" s="5" t="s">
        <v>1575</v>
      </c>
      <c r="E937" s="4" t="str">
        <f>"00971555175987"</f>
        <v>00971555175987</v>
      </c>
      <c r="F937" s="2" t="s">
        <v>12</v>
      </c>
      <c r="G937" s="2" t="s">
        <v>13</v>
      </c>
      <c r="H937" t="s">
        <v>14</v>
      </c>
      <c r="I937" s="1">
        <v>46086</v>
      </c>
      <c r="J937" t="s">
        <v>1667</v>
      </c>
    </row>
    <row r="938" spans="1:10" x14ac:dyDescent="0.25">
      <c r="A938" s="3">
        <v>46086</v>
      </c>
      <c r="B938" s="5" t="s">
        <v>1668</v>
      </c>
      <c r="C938" s="5" t="s">
        <v>1668</v>
      </c>
      <c r="D938" s="5" t="s">
        <v>1575</v>
      </c>
      <c r="E938" s="4" t="str">
        <f>"0097165489691"</f>
        <v>0097165489691</v>
      </c>
      <c r="F938" s="2" t="s">
        <v>12</v>
      </c>
      <c r="G938" s="2" t="s">
        <v>13</v>
      </c>
      <c r="H938" t="s">
        <v>14</v>
      </c>
      <c r="I938" s="1">
        <v>46086</v>
      </c>
      <c r="J938" t="s">
        <v>1669</v>
      </c>
    </row>
    <row r="939" spans="1:10" x14ac:dyDescent="0.25">
      <c r="A939" s="3">
        <v>46086</v>
      </c>
      <c r="B939" s="5" t="s">
        <v>1670</v>
      </c>
      <c r="C939" s="5" t="s">
        <v>1670</v>
      </c>
      <c r="D939" s="5" t="s">
        <v>1575</v>
      </c>
      <c r="E939" s="4" t="str">
        <f>"00971545849773"</f>
        <v>00971545849773</v>
      </c>
      <c r="F939" s="2" t="s">
        <v>12</v>
      </c>
      <c r="G939" s="2" t="s">
        <v>13</v>
      </c>
      <c r="H939" t="s">
        <v>14</v>
      </c>
      <c r="I939" s="1">
        <v>46086</v>
      </c>
      <c r="J939" t="s">
        <v>1671</v>
      </c>
    </row>
    <row r="940" spans="1:10" x14ac:dyDescent="0.25">
      <c r="A940" s="3">
        <v>46086</v>
      </c>
      <c r="B940" s="5" t="s">
        <v>1670</v>
      </c>
      <c r="C940" s="5" t="s">
        <v>1670</v>
      </c>
      <c r="D940" s="5" t="s">
        <v>1575</v>
      </c>
      <c r="E940" s="4" t="str">
        <f>"00971556323112"</f>
        <v>00971556323112</v>
      </c>
      <c r="F940" s="2" t="s">
        <v>12</v>
      </c>
      <c r="G940" s="2" t="s">
        <v>13</v>
      </c>
      <c r="H940" t="s">
        <v>14</v>
      </c>
      <c r="I940" s="1">
        <v>46086</v>
      </c>
      <c r="J940" t="s">
        <v>1671</v>
      </c>
    </row>
    <row r="941" spans="1:10" x14ac:dyDescent="0.25">
      <c r="A941" s="3">
        <v>46086</v>
      </c>
      <c r="B941" s="5" t="s">
        <v>1670</v>
      </c>
      <c r="C941" s="5" t="s">
        <v>1670</v>
      </c>
      <c r="D941" s="5" t="s">
        <v>1575</v>
      </c>
      <c r="E941" s="4" t="str">
        <f>"0097165570124"</f>
        <v>0097165570124</v>
      </c>
      <c r="F941" s="2" t="s">
        <v>12</v>
      </c>
      <c r="G941" s="2" t="s">
        <v>13</v>
      </c>
      <c r="H941" t="s">
        <v>14</v>
      </c>
      <c r="I941" s="1">
        <v>46086</v>
      </c>
      <c r="J941" t="s">
        <v>1672</v>
      </c>
    </row>
    <row r="942" spans="1:10" x14ac:dyDescent="0.25">
      <c r="A942" s="3">
        <v>46086</v>
      </c>
      <c r="B942" s="5" t="s">
        <v>1673</v>
      </c>
      <c r="C942" s="5" t="s">
        <v>1673</v>
      </c>
      <c r="D942" s="5" t="s">
        <v>1575</v>
      </c>
      <c r="E942" s="4" t="str">
        <f>"0097165695779"</f>
        <v>0097165695779</v>
      </c>
      <c r="F942" s="2" t="s">
        <v>12</v>
      </c>
      <c r="G942" s="2" t="s">
        <v>13</v>
      </c>
      <c r="H942" t="s">
        <v>14</v>
      </c>
      <c r="I942" s="1">
        <v>46086</v>
      </c>
      <c r="J942" t="s">
        <v>1674</v>
      </c>
    </row>
    <row r="943" spans="1:10" x14ac:dyDescent="0.25">
      <c r="A943" s="3">
        <v>46086</v>
      </c>
      <c r="B943" s="5" t="s">
        <v>1675</v>
      </c>
      <c r="C943" s="5" t="s">
        <v>1675</v>
      </c>
      <c r="D943" s="5" t="s">
        <v>1575</v>
      </c>
      <c r="E943" s="4" t="str">
        <f>"0097165617393"</f>
        <v>0097165617393</v>
      </c>
      <c r="F943" s="2" t="s">
        <v>12</v>
      </c>
      <c r="G943" s="2" t="s">
        <v>13</v>
      </c>
      <c r="H943" t="s">
        <v>14</v>
      </c>
      <c r="I943" s="1">
        <v>46086</v>
      </c>
      <c r="J943" t="s">
        <v>1676</v>
      </c>
    </row>
    <row r="944" spans="1:10" x14ac:dyDescent="0.25">
      <c r="A944" s="3">
        <v>46086</v>
      </c>
      <c r="B944" s="5" t="s">
        <v>1169</v>
      </c>
      <c r="C944" s="5" t="s">
        <v>1169</v>
      </c>
      <c r="D944" s="5" t="s">
        <v>1575</v>
      </c>
      <c r="E944" s="4" t="str">
        <f>"0097165424751"</f>
        <v>0097165424751</v>
      </c>
      <c r="F944" s="2" t="s">
        <v>12</v>
      </c>
      <c r="G944" s="2" t="s">
        <v>13</v>
      </c>
      <c r="H944" t="s">
        <v>14</v>
      </c>
      <c r="I944" s="1">
        <v>46086</v>
      </c>
      <c r="J944" t="s">
        <v>1677</v>
      </c>
    </row>
    <row r="945" spans="1:10" x14ac:dyDescent="0.25">
      <c r="A945" s="3">
        <v>46086</v>
      </c>
      <c r="B945" s="5" t="s">
        <v>1678</v>
      </c>
      <c r="C945" s="5" t="s">
        <v>1678</v>
      </c>
      <c r="D945" s="5" t="s">
        <v>1575</v>
      </c>
      <c r="E945" s="4" t="str">
        <f>"00971508087746"</f>
        <v>00971508087746</v>
      </c>
      <c r="F945" s="2" t="s">
        <v>12</v>
      </c>
      <c r="G945" s="2" t="s">
        <v>13</v>
      </c>
      <c r="H945" t="s">
        <v>14</v>
      </c>
      <c r="I945" s="1">
        <v>46086</v>
      </c>
      <c r="J945" t="s">
        <v>1679</v>
      </c>
    </row>
    <row r="946" spans="1:10" x14ac:dyDescent="0.25">
      <c r="A946" s="3">
        <v>46086</v>
      </c>
      <c r="B946" s="5" t="s">
        <v>1678</v>
      </c>
      <c r="C946" s="5" t="s">
        <v>1678</v>
      </c>
      <c r="D946" s="5" t="s">
        <v>1575</v>
      </c>
      <c r="E946" s="4" t="str">
        <f>"00971508099662"</f>
        <v>00971508099662</v>
      </c>
      <c r="F946" s="2" t="s">
        <v>12</v>
      </c>
      <c r="G946" s="2" t="s">
        <v>13</v>
      </c>
      <c r="H946" t="s">
        <v>14</v>
      </c>
      <c r="I946" s="1">
        <v>46086</v>
      </c>
      <c r="J946" t="s">
        <v>1679</v>
      </c>
    </row>
    <row r="947" spans="1:10" x14ac:dyDescent="0.25">
      <c r="A947" s="3">
        <v>46086</v>
      </c>
      <c r="B947" s="5" t="s">
        <v>1678</v>
      </c>
      <c r="C947" s="5" t="s">
        <v>1678</v>
      </c>
      <c r="D947" s="5" t="s">
        <v>1575</v>
      </c>
      <c r="E947" s="4" t="str">
        <f>"0097165350351"</f>
        <v>0097165350351</v>
      </c>
      <c r="F947" s="2" t="s">
        <v>12</v>
      </c>
      <c r="G947" s="2" t="s">
        <v>13</v>
      </c>
      <c r="H947" t="s">
        <v>14</v>
      </c>
      <c r="I947" s="1">
        <v>46086</v>
      </c>
      <c r="J947" t="s">
        <v>1680</v>
      </c>
    </row>
    <row r="948" spans="1:10" x14ac:dyDescent="0.25">
      <c r="A948" s="3">
        <v>46086</v>
      </c>
      <c r="B948" s="5" t="s">
        <v>1678</v>
      </c>
      <c r="C948" s="5" t="s">
        <v>1678</v>
      </c>
      <c r="D948" s="5" t="s">
        <v>1575</v>
      </c>
      <c r="E948" s="4" t="str">
        <f>"0097165533662"</f>
        <v>0097165533662</v>
      </c>
      <c r="F948" s="2" t="s">
        <v>12</v>
      </c>
      <c r="G948" s="2" t="s">
        <v>13</v>
      </c>
      <c r="H948" t="s">
        <v>14</v>
      </c>
      <c r="I948" s="1">
        <v>46086</v>
      </c>
      <c r="J948" t="s">
        <v>1681</v>
      </c>
    </row>
    <row r="949" spans="1:10" x14ac:dyDescent="0.25">
      <c r="A949" s="3">
        <v>46086</v>
      </c>
      <c r="B949" s="5" t="s">
        <v>1682</v>
      </c>
      <c r="C949" s="5" t="s">
        <v>1682</v>
      </c>
      <c r="D949" s="5" t="s">
        <v>1575</v>
      </c>
      <c r="E949" s="4" t="str">
        <f>"0097165533662"</f>
        <v>0097165533662</v>
      </c>
      <c r="F949" s="2" t="s">
        <v>12</v>
      </c>
      <c r="G949" s="2" t="s">
        <v>13</v>
      </c>
      <c r="H949" t="s">
        <v>14</v>
      </c>
      <c r="I949" s="1">
        <v>46086</v>
      </c>
      <c r="J949" t="s">
        <v>1683</v>
      </c>
    </row>
    <row r="950" spans="1:10" x14ac:dyDescent="0.25">
      <c r="A950" s="3">
        <v>46086</v>
      </c>
      <c r="B950" s="5" t="s">
        <v>1684</v>
      </c>
      <c r="C950" s="5" t="s">
        <v>1684</v>
      </c>
      <c r="D950" s="5" t="s">
        <v>1575</v>
      </c>
      <c r="E950" s="4" t="str">
        <f>"0097165350351"</f>
        <v>0097165350351</v>
      </c>
      <c r="F950" s="2" t="s">
        <v>12</v>
      </c>
      <c r="G950" s="2" t="s">
        <v>13</v>
      </c>
      <c r="H950" t="s">
        <v>14</v>
      </c>
      <c r="I950" s="1">
        <v>46086</v>
      </c>
      <c r="J950" t="s">
        <v>1685</v>
      </c>
    </row>
    <row r="951" spans="1:10" x14ac:dyDescent="0.25">
      <c r="A951" s="3">
        <v>46086</v>
      </c>
      <c r="B951" s="5" t="s">
        <v>1686</v>
      </c>
      <c r="C951" s="5" t="s">
        <v>1686</v>
      </c>
      <c r="D951" s="5" t="s">
        <v>1575</v>
      </c>
      <c r="E951" s="4" t="str">
        <f>"00971504552808"</f>
        <v>00971504552808</v>
      </c>
      <c r="F951" s="2" t="s">
        <v>12</v>
      </c>
      <c r="G951" s="2" t="s">
        <v>13</v>
      </c>
      <c r="H951" t="s">
        <v>14</v>
      </c>
      <c r="I951" s="1">
        <v>46086</v>
      </c>
      <c r="J951" t="s">
        <v>1687</v>
      </c>
    </row>
    <row r="952" spans="1:10" x14ac:dyDescent="0.25">
      <c r="A952" s="3">
        <v>46086</v>
      </c>
      <c r="B952" s="5" t="s">
        <v>1686</v>
      </c>
      <c r="C952" s="5" t="s">
        <v>1686</v>
      </c>
      <c r="D952" s="5" t="s">
        <v>1575</v>
      </c>
      <c r="E952" s="4" t="str">
        <f>"0097165220073"</f>
        <v>0097165220073</v>
      </c>
      <c r="F952" s="2" t="s">
        <v>12</v>
      </c>
      <c r="G952" s="2" t="s">
        <v>13</v>
      </c>
      <c r="H952" t="s">
        <v>14</v>
      </c>
      <c r="I952" s="1">
        <v>46086</v>
      </c>
      <c r="J952" t="s">
        <v>1688</v>
      </c>
    </row>
    <row r="953" spans="1:10" x14ac:dyDescent="0.25">
      <c r="A953" s="3">
        <v>46086</v>
      </c>
      <c r="B953" s="5" t="s">
        <v>1689</v>
      </c>
      <c r="C953" s="5" t="s">
        <v>1689</v>
      </c>
      <c r="D953" s="5" t="s">
        <v>1575</v>
      </c>
      <c r="E953" s="4" t="str">
        <f>"0097165578701"</f>
        <v>0097165578701</v>
      </c>
      <c r="F953" s="2" t="s">
        <v>12</v>
      </c>
      <c r="G953" s="2" t="s">
        <v>13</v>
      </c>
      <c r="H953" t="s">
        <v>14</v>
      </c>
      <c r="I953" s="1">
        <v>46086</v>
      </c>
      <c r="J953" t="s">
        <v>1690</v>
      </c>
    </row>
    <row r="954" spans="1:10" x14ac:dyDescent="0.25">
      <c r="A954" s="3">
        <v>46086</v>
      </c>
      <c r="B954" s="5" t="s">
        <v>1691</v>
      </c>
      <c r="C954" s="5" t="s">
        <v>1691</v>
      </c>
      <c r="D954" s="5" t="s">
        <v>1575</v>
      </c>
      <c r="E954" s="4" t="str">
        <f>"0097165224594"</f>
        <v>0097165224594</v>
      </c>
      <c r="F954" s="2" t="s">
        <v>12</v>
      </c>
      <c r="G954" s="2" t="s">
        <v>13</v>
      </c>
      <c r="H954" t="s">
        <v>14</v>
      </c>
      <c r="I954" s="1">
        <v>46086</v>
      </c>
      <c r="J954" t="s">
        <v>1692</v>
      </c>
    </row>
    <row r="955" spans="1:10" x14ac:dyDescent="0.25">
      <c r="A955" s="3">
        <v>46086</v>
      </c>
      <c r="B955" s="5" t="s">
        <v>1693</v>
      </c>
      <c r="C955" s="5" t="s">
        <v>1693</v>
      </c>
      <c r="D955" s="5" t="s">
        <v>1575</v>
      </c>
      <c r="E955" s="4" t="str">
        <f>"00971502311874"</f>
        <v>00971502311874</v>
      </c>
      <c r="F955" s="2" t="s">
        <v>12</v>
      </c>
      <c r="G955" s="2" t="s">
        <v>13</v>
      </c>
      <c r="H955" t="s">
        <v>14</v>
      </c>
      <c r="I955" s="1">
        <v>46086</v>
      </c>
      <c r="J955" t="s">
        <v>1694</v>
      </c>
    </row>
    <row r="956" spans="1:10" x14ac:dyDescent="0.25">
      <c r="A956" s="3">
        <v>46086</v>
      </c>
      <c r="B956" s="5" t="s">
        <v>1693</v>
      </c>
      <c r="C956" s="5" t="s">
        <v>1693</v>
      </c>
      <c r="D956" s="5" t="s">
        <v>1575</v>
      </c>
      <c r="E956" s="4" t="str">
        <f>"00971553425628"</f>
        <v>00971553425628</v>
      </c>
      <c r="F956" s="2" t="s">
        <v>12</v>
      </c>
      <c r="G956" s="2" t="s">
        <v>13</v>
      </c>
      <c r="H956" t="s">
        <v>14</v>
      </c>
      <c r="I956" s="1">
        <v>46086</v>
      </c>
      <c r="J956" t="s">
        <v>1694</v>
      </c>
    </row>
    <row r="957" spans="1:10" x14ac:dyDescent="0.25">
      <c r="A957" s="3">
        <v>46086</v>
      </c>
      <c r="B957" s="5" t="s">
        <v>1693</v>
      </c>
      <c r="C957" s="5" t="s">
        <v>1693</v>
      </c>
      <c r="D957" s="5" t="s">
        <v>1575</v>
      </c>
      <c r="E957" s="4" t="str">
        <f>"0097165617228"</f>
        <v>0097165617228</v>
      </c>
      <c r="F957" s="2" t="s">
        <v>12</v>
      </c>
      <c r="G957" s="2" t="s">
        <v>13</v>
      </c>
      <c r="H957" t="s">
        <v>14</v>
      </c>
      <c r="I957" s="1">
        <v>46086</v>
      </c>
      <c r="J957" t="s">
        <v>1695</v>
      </c>
    </row>
    <row r="958" spans="1:10" x14ac:dyDescent="0.25">
      <c r="A958" s="3">
        <v>46086</v>
      </c>
      <c r="B958" s="5" t="s">
        <v>1696</v>
      </c>
      <c r="C958" s="5" t="s">
        <v>1696</v>
      </c>
      <c r="D958" s="5" t="s">
        <v>1575</v>
      </c>
      <c r="E958" s="4" t="str">
        <f>"00971504240262"</f>
        <v>00971504240262</v>
      </c>
      <c r="F958" s="2" t="s">
        <v>12</v>
      </c>
      <c r="G958" s="2" t="s">
        <v>13</v>
      </c>
      <c r="H958" t="s">
        <v>14</v>
      </c>
      <c r="I958" s="1">
        <v>46086</v>
      </c>
      <c r="J958" t="s">
        <v>1697</v>
      </c>
    </row>
    <row r="959" spans="1:10" x14ac:dyDescent="0.25">
      <c r="A959" s="3">
        <v>46086</v>
      </c>
      <c r="B959" s="5" t="s">
        <v>1698</v>
      </c>
      <c r="C959" s="5" t="s">
        <v>1698</v>
      </c>
      <c r="D959" s="5" t="s">
        <v>1575</v>
      </c>
      <c r="E959" s="4" t="str">
        <f>"00971505198462"</f>
        <v>00971505198462</v>
      </c>
      <c r="F959" s="2" t="s">
        <v>12</v>
      </c>
      <c r="G959" s="2" t="s">
        <v>13</v>
      </c>
      <c r="H959" t="s">
        <v>14</v>
      </c>
      <c r="I959" s="1">
        <v>46086</v>
      </c>
      <c r="J959" t="s">
        <v>1699</v>
      </c>
    </row>
    <row r="960" spans="1:10" x14ac:dyDescent="0.25">
      <c r="A960" s="3">
        <v>46086</v>
      </c>
      <c r="B960" s="5" t="s">
        <v>1698</v>
      </c>
      <c r="C960" s="5" t="s">
        <v>1698</v>
      </c>
      <c r="D960" s="5" t="s">
        <v>1575</v>
      </c>
      <c r="E960" s="4" t="str">
        <f>"0097165579612"</f>
        <v>0097165579612</v>
      </c>
      <c r="F960" s="2" t="s">
        <v>12</v>
      </c>
      <c r="G960" s="2" t="s">
        <v>13</v>
      </c>
      <c r="H960" t="s">
        <v>14</v>
      </c>
      <c r="I960" s="1">
        <v>46086</v>
      </c>
      <c r="J960" t="s">
        <v>1700</v>
      </c>
    </row>
    <row r="961" spans="1:10" x14ac:dyDescent="0.25">
      <c r="A961" s="3">
        <v>46086</v>
      </c>
      <c r="B961" s="5" t="s">
        <v>1701</v>
      </c>
      <c r="C961" s="5" t="s">
        <v>1701</v>
      </c>
      <c r="D961" s="5" t="s">
        <v>1575</v>
      </c>
      <c r="E961" s="4" t="str">
        <f>"0097165529243"</f>
        <v>0097165529243</v>
      </c>
      <c r="F961" s="2" t="s">
        <v>12</v>
      </c>
      <c r="G961" s="2" t="s">
        <v>13</v>
      </c>
      <c r="H961" t="s">
        <v>14</v>
      </c>
      <c r="I961" s="1">
        <v>46086</v>
      </c>
      <c r="J961" t="s">
        <v>1702</v>
      </c>
    </row>
    <row r="962" spans="1:10" x14ac:dyDescent="0.25">
      <c r="A962" s="3">
        <v>46086</v>
      </c>
      <c r="B962" s="5" t="s">
        <v>1273</v>
      </c>
      <c r="C962" s="5" t="s">
        <v>1273</v>
      </c>
      <c r="D962" s="5" t="s">
        <v>1575</v>
      </c>
      <c r="E962" s="4" t="str">
        <f>"0097165734083"</f>
        <v>0097165734083</v>
      </c>
      <c r="F962" s="2" t="s">
        <v>12</v>
      </c>
      <c r="G962" s="2" t="s">
        <v>13</v>
      </c>
      <c r="H962" t="s">
        <v>14</v>
      </c>
      <c r="I962" s="1">
        <v>46086</v>
      </c>
      <c r="J962" t="s">
        <v>1703</v>
      </c>
    </row>
    <row r="963" spans="1:10" x14ac:dyDescent="0.25">
      <c r="A963" s="3">
        <v>46086</v>
      </c>
      <c r="B963" s="5" t="s">
        <v>1704</v>
      </c>
      <c r="C963" s="5" t="s">
        <v>1704</v>
      </c>
      <c r="D963" s="5" t="s">
        <v>1575</v>
      </c>
      <c r="E963" s="4" t="str">
        <f>"00971507948028"</f>
        <v>00971507948028</v>
      </c>
      <c r="F963" s="2" t="s">
        <v>12</v>
      </c>
      <c r="G963" s="2" t="s">
        <v>13</v>
      </c>
      <c r="H963" t="s">
        <v>14</v>
      </c>
      <c r="I963" s="1">
        <v>46086</v>
      </c>
      <c r="J963" t="s">
        <v>1705</v>
      </c>
    </row>
    <row r="964" spans="1:10" x14ac:dyDescent="0.25">
      <c r="A964" s="3">
        <v>46086</v>
      </c>
      <c r="B964" s="5" t="s">
        <v>1704</v>
      </c>
      <c r="C964" s="5" t="s">
        <v>1704</v>
      </c>
      <c r="D964" s="5" t="s">
        <v>1575</v>
      </c>
      <c r="E964" s="4" t="str">
        <f>"0097165610040"</f>
        <v>0097165610040</v>
      </c>
      <c r="F964" s="2" t="s">
        <v>12</v>
      </c>
      <c r="G964" s="2" t="s">
        <v>13</v>
      </c>
      <c r="H964" t="s">
        <v>14</v>
      </c>
      <c r="I964" s="1">
        <v>46086</v>
      </c>
      <c r="J964" t="s">
        <v>1706</v>
      </c>
    </row>
    <row r="965" spans="1:10" x14ac:dyDescent="0.25">
      <c r="A965" s="3">
        <v>46086</v>
      </c>
      <c r="B965" s="5" t="s">
        <v>1483</v>
      </c>
      <c r="C965" s="5" t="s">
        <v>1483</v>
      </c>
      <c r="D965" s="5" t="s">
        <v>1575</v>
      </c>
      <c r="E965" s="4" t="str">
        <f>"0097165333737"</f>
        <v>0097165333737</v>
      </c>
      <c r="F965" s="2" t="s">
        <v>12</v>
      </c>
      <c r="G965" s="2" t="s">
        <v>13</v>
      </c>
      <c r="H965" t="s">
        <v>14</v>
      </c>
      <c r="I965" s="1">
        <v>46086</v>
      </c>
      <c r="J965" t="s">
        <v>1707</v>
      </c>
    </row>
    <row r="966" spans="1:10" x14ac:dyDescent="0.25">
      <c r="A966" s="3">
        <v>46086</v>
      </c>
      <c r="B966" s="5" t="s">
        <v>1708</v>
      </c>
      <c r="C966" s="5" t="s">
        <v>1708</v>
      </c>
      <c r="D966" s="5" t="s">
        <v>1575</v>
      </c>
      <c r="E966" s="4" t="str">
        <f>"0097165731122"</f>
        <v>0097165731122</v>
      </c>
      <c r="F966" s="2" t="s">
        <v>12</v>
      </c>
      <c r="G966" s="2" t="s">
        <v>13</v>
      </c>
      <c r="H966" t="s">
        <v>14</v>
      </c>
      <c r="I966" s="1">
        <v>46086</v>
      </c>
      <c r="J966" t="s">
        <v>1709</v>
      </c>
    </row>
    <row r="967" spans="1:10" x14ac:dyDescent="0.25">
      <c r="A967" s="3">
        <v>46086</v>
      </c>
      <c r="B967" s="5" t="s">
        <v>337</v>
      </c>
      <c r="C967" s="5" t="s">
        <v>337</v>
      </c>
      <c r="D967" s="5" t="s">
        <v>1575</v>
      </c>
      <c r="E967" s="4" t="str">
        <f>"0097165584311"</f>
        <v>0097165584311</v>
      </c>
      <c r="F967" s="2" t="s">
        <v>12</v>
      </c>
      <c r="G967" s="2" t="s">
        <v>13</v>
      </c>
      <c r="H967" t="s">
        <v>14</v>
      </c>
      <c r="I967" s="1">
        <v>46086</v>
      </c>
      <c r="J967" t="s">
        <v>1710</v>
      </c>
    </row>
    <row r="968" spans="1:10" x14ac:dyDescent="0.25">
      <c r="A968" s="3">
        <v>46086</v>
      </c>
      <c r="B968" s="5" t="s">
        <v>1711</v>
      </c>
      <c r="C968" s="5" t="s">
        <v>1711</v>
      </c>
      <c r="D968" s="5" t="s">
        <v>1575</v>
      </c>
      <c r="E968" s="4" t="str">
        <f>"00971508073844"</f>
        <v>00971508073844</v>
      </c>
      <c r="F968" s="2" t="s">
        <v>12</v>
      </c>
      <c r="G968" s="2" t="s">
        <v>13</v>
      </c>
      <c r="H968" t="s">
        <v>14</v>
      </c>
      <c r="I968" s="1">
        <v>46086</v>
      </c>
      <c r="J968" t="s">
        <v>1712</v>
      </c>
    </row>
    <row r="969" spans="1:10" x14ac:dyDescent="0.25">
      <c r="A969" s="3">
        <v>46086</v>
      </c>
      <c r="B969" s="5" t="s">
        <v>1713</v>
      </c>
      <c r="C969" s="5" t="s">
        <v>1713</v>
      </c>
      <c r="D969" s="5" t="s">
        <v>1575</v>
      </c>
      <c r="E969" s="4" t="str">
        <f>"00971525273202"</f>
        <v>00971525273202</v>
      </c>
      <c r="F969" s="2" t="s">
        <v>12</v>
      </c>
      <c r="G969" s="2" t="s">
        <v>13</v>
      </c>
      <c r="H969" t="s">
        <v>14</v>
      </c>
      <c r="I969" s="1">
        <v>46086</v>
      </c>
      <c r="J969" t="s">
        <v>1714</v>
      </c>
    </row>
    <row r="970" spans="1:10" x14ac:dyDescent="0.25">
      <c r="A970" s="3">
        <v>46086</v>
      </c>
      <c r="B970" s="5" t="s">
        <v>1713</v>
      </c>
      <c r="C970" s="5" t="s">
        <v>1713</v>
      </c>
      <c r="D970" s="5" t="s">
        <v>1575</v>
      </c>
      <c r="E970" s="4" t="str">
        <f>"0097165562727"</f>
        <v>0097165562727</v>
      </c>
      <c r="F970" s="2" t="s">
        <v>12</v>
      </c>
      <c r="G970" s="2" t="s">
        <v>13</v>
      </c>
      <c r="H970" t="s">
        <v>14</v>
      </c>
      <c r="I970" s="1">
        <v>46086</v>
      </c>
      <c r="J970" t="s">
        <v>1715</v>
      </c>
    </row>
    <row r="971" spans="1:10" x14ac:dyDescent="0.25">
      <c r="A971" s="3">
        <v>46086</v>
      </c>
      <c r="B971" s="5" t="s">
        <v>1716</v>
      </c>
      <c r="C971" s="5" t="s">
        <v>1716</v>
      </c>
      <c r="D971" s="5" t="s">
        <v>1575</v>
      </c>
      <c r="E971" s="4" t="str">
        <f>"0097165346800"</f>
        <v>0097165346800</v>
      </c>
      <c r="F971" s="2" t="s">
        <v>12</v>
      </c>
      <c r="G971" s="2" t="s">
        <v>13</v>
      </c>
      <c r="H971" t="s">
        <v>14</v>
      </c>
      <c r="I971" s="1">
        <v>46086</v>
      </c>
      <c r="J971" t="s">
        <v>1717</v>
      </c>
    </row>
    <row r="972" spans="1:10" x14ac:dyDescent="0.25">
      <c r="A972" s="3">
        <v>46086</v>
      </c>
      <c r="B972" s="5" t="s">
        <v>1718</v>
      </c>
      <c r="C972" s="5" t="s">
        <v>1718</v>
      </c>
      <c r="D972" s="5" t="s">
        <v>1575</v>
      </c>
      <c r="E972" s="4" t="str">
        <f>"0097165431334"</f>
        <v>0097165431334</v>
      </c>
      <c r="F972" s="2" t="s">
        <v>12</v>
      </c>
      <c r="G972" s="2" t="s">
        <v>13</v>
      </c>
      <c r="H972" t="s">
        <v>14</v>
      </c>
      <c r="I972" s="1">
        <v>46086</v>
      </c>
      <c r="J972" t="s">
        <v>1719</v>
      </c>
    </row>
    <row r="973" spans="1:10" x14ac:dyDescent="0.25">
      <c r="A973" s="3">
        <v>46086</v>
      </c>
      <c r="B973" s="5" t="s">
        <v>1720</v>
      </c>
      <c r="C973" s="5" t="s">
        <v>1720</v>
      </c>
      <c r="D973" s="5" t="s">
        <v>1575</v>
      </c>
      <c r="E973" s="4" t="str">
        <f>"00971555535094"</f>
        <v>00971555535094</v>
      </c>
      <c r="F973" s="2" t="s">
        <v>12</v>
      </c>
      <c r="G973" s="2" t="s">
        <v>13</v>
      </c>
      <c r="H973" t="s">
        <v>14</v>
      </c>
      <c r="I973" s="1">
        <v>46086</v>
      </c>
      <c r="J973" t="s">
        <v>1721</v>
      </c>
    </row>
    <row r="974" spans="1:10" x14ac:dyDescent="0.25">
      <c r="A974" s="3">
        <v>46086</v>
      </c>
      <c r="B974" s="5" t="s">
        <v>1720</v>
      </c>
      <c r="C974" s="5" t="s">
        <v>1720</v>
      </c>
      <c r="D974" s="5" t="s">
        <v>1575</v>
      </c>
      <c r="E974" s="4" t="str">
        <f>"00971558286248"</f>
        <v>00971558286248</v>
      </c>
      <c r="F974" s="2" t="s">
        <v>12</v>
      </c>
      <c r="G974" s="2" t="s">
        <v>13</v>
      </c>
      <c r="H974" t="s">
        <v>14</v>
      </c>
      <c r="I974" s="1">
        <v>46086</v>
      </c>
      <c r="J974" t="s">
        <v>1721</v>
      </c>
    </row>
    <row r="975" spans="1:10" x14ac:dyDescent="0.25">
      <c r="A975" s="3">
        <v>46086</v>
      </c>
      <c r="B975" s="5" t="s">
        <v>1385</v>
      </c>
      <c r="C975" s="5" t="s">
        <v>1385</v>
      </c>
      <c r="D975" s="5" t="s">
        <v>1575</v>
      </c>
      <c r="E975" s="4" t="str">
        <f>"0097165680111"</f>
        <v>0097165680111</v>
      </c>
      <c r="F975" s="2" t="s">
        <v>12</v>
      </c>
      <c r="G975" s="2" t="s">
        <v>13</v>
      </c>
      <c r="H975" t="s">
        <v>14</v>
      </c>
      <c r="I975" s="1">
        <v>46086</v>
      </c>
      <c r="J975" t="s">
        <v>1722</v>
      </c>
    </row>
    <row r="976" spans="1:10" x14ac:dyDescent="0.25">
      <c r="A976" s="3">
        <v>46086</v>
      </c>
      <c r="B976" s="5" t="s">
        <v>1723</v>
      </c>
      <c r="C976" s="5" t="s">
        <v>1723</v>
      </c>
      <c r="D976" s="5" t="s">
        <v>1575</v>
      </c>
      <c r="E976" s="4" t="str">
        <f>"00971506262749"</f>
        <v>00971506262749</v>
      </c>
      <c r="F976" s="2" t="s">
        <v>12</v>
      </c>
      <c r="G976" s="2" t="s">
        <v>13</v>
      </c>
      <c r="H976" t="s">
        <v>14</v>
      </c>
      <c r="I976" s="1">
        <v>46086</v>
      </c>
      <c r="J976" t="s">
        <v>1724</v>
      </c>
    </row>
    <row r="977" spans="1:10" x14ac:dyDescent="0.25">
      <c r="A977" s="3">
        <v>46086</v>
      </c>
      <c r="B977" s="5" t="s">
        <v>1723</v>
      </c>
      <c r="C977" s="5" t="s">
        <v>1723</v>
      </c>
      <c r="D977" s="5" t="s">
        <v>1575</v>
      </c>
      <c r="E977" s="4" t="str">
        <f>"00971581436585"</f>
        <v>00971581436585</v>
      </c>
      <c r="F977" s="2" t="s">
        <v>12</v>
      </c>
      <c r="G977" s="2" t="s">
        <v>13</v>
      </c>
      <c r="H977" t="s">
        <v>14</v>
      </c>
      <c r="I977" s="1">
        <v>46086</v>
      </c>
      <c r="J977" t="s">
        <v>1724</v>
      </c>
    </row>
    <row r="978" spans="1:10" x14ac:dyDescent="0.25">
      <c r="A978" s="3">
        <v>46086</v>
      </c>
      <c r="B978" s="5" t="s">
        <v>1723</v>
      </c>
      <c r="C978" s="5" t="s">
        <v>1723</v>
      </c>
      <c r="D978" s="5" t="s">
        <v>1575</v>
      </c>
      <c r="E978" s="4" t="str">
        <f>"0097165432542"</f>
        <v>0097165432542</v>
      </c>
      <c r="F978" s="2" t="s">
        <v>12</v>
      </c>
      <c r="G978" s="2" t="s">
        <v>13</v>
      </c>
      <c r="H978" t="s">
        <v>14</v>
      </c>
      <c r="I978" s="1">
        <v>46086</v>
      </c>
      <c r="J978" t="s">
        <v>1725</v>
      </c>
    </row>
    <row r="979" spans="1:10" x14ac:dyDescent="0.25">
      <c r="A979" s="3">
        <v>46086</v>
      </c>
      <c r="B979" s="5" t="s">
        <v>1726</v>
      </c>
      <c r="C979" s="5" t="s">
        <v>1726</v>
      </c>
      <c r="D979" s="5" t="s">
        <v>1575</v>
      </c>
      <c r="E979" s="4" t="str">
        <f>"00971557352549"</f>
        <v>00971557352549</v>
      </c>
      <c r="F979" s="2" t="s">
        <v>12</v>
      </c>
      <c r="G979" s="2" t="s">
        <v>13</v>
      </c>
      <c r="H979" t="s">
        <v>14</v>
      </c>
      <c r="I979" s="1">
        <v>46086</v>
      </c>
      <c r="J979" t="s">
        <v>1727</v>
      </c>
    </row>
    <row r="980" spans="1:10" x14ac:dyDescent="0.25">
      <c r="A980" s="3">
        <v>46086</v>
      </c>
      <c r="B980" s="5" t="s">
        <v>1726</v>
      </c>
      <c r="C980" s="5" t="s">
        <v>1726</v>
      </c>
      <c r="D980" s="5" t="s">
        <v>1575</v>
      </c>
      <c r="E980" s="4" t="str">
        <f>"0097165335484"</f>
        <v>0097165335484</v>
      </c>
      <c r="F980" s="2" t="s">
        <v>12</v>
      </c>
      <c r="G980" s="2" t="s">
        <v>13</v>
      </c>
      <c r="H980" t="s">
        <v>14</v>
      </c>
      <c r="I980" s="1">
        <v>46086</v>
      </c>
      <c r="J980" t="s">
        <v>1728</v>
      </c>
    </row>
    <row r="981" spans="1:10" x14ac:dyDescent="0.25">
      <c r="A981" s="3">
        <v>46086</v>
      </c>
      <c r="B981" s="5" t="s">
        <v>1729</v>
      </c>
      <c r="C981" s="5" t="s">
        <v>1729</v>
      </c>
      <c r="D981" s="5" t="s">
        <v>1575</v>
      </c>
      <c r="E981" s="4" t="str">
        <f>"0097165696607"</f>
        <v>0097165696607</v>
      </c>
      <c r="F981" s="2" t="s">
        <v>12</v>
      </c>
      <c r="G981" s="2" t="s">
        <v>13</v>
      </c>
      <c r="H981" t="s">
        <v>14</v>
      </c>
      <c r="I981" s="1">
        <v>46086</v>
      </c>
      <c r="J981" t="s">
        <v>1730</v>
      </c>
    </row>
    <row r="982" spans="1:10" x14ac:dyDescent="0.25">
      <c r="A982" s="3">
        <v>46086</v>
      </c>
      <c r="B982" s="5" t="s">
        <v>1731</v>
      </c>
      <c r="C982" s="5" t="s">
        <v>1731</v>
      </c>
      <c r="D982" s="5" t="s">
        <v>1575</v>
      </c>
      <c r="E982" s="4" t="str">
        <f>"0097165626272"</f>
        <v>0097165626272</v>
      </c>
      <c r="F982" s="2" t="s">
        <v>12</v>
      </c>
      <c r="G982" s="2" t="s">
        <v>13</v>
      </c>
      <c r="H982" t="s">
        <v>14</v>
      </c>
      <c r="I982" s="1">
        <v>46086</v>
      </c>
      <c r="J982" t="s">
        <v>1732</v>
      </c>
    </row>
    <row r="983" spans="1:10" x14ac:dyDescent="0.25">
      <c r="A983" s="3">
        <v>46086</v>
      </c>
      <c r="B983" s="5" t="s">
        <v>1733</v>
      </c>
      <c r="C983" s="5" t="s">
        <v>1733</v>
      </c>
      <c r="D983" s="5" t="s">
        <v>1575</v>
      </c>
      <c r="E983" s="4" t="str">
        <f>"0097165311201"</f>
        <v>0097165311201</v>
      </c>
      <c r="F983" s="2" t="s">
        <v>12</v>
      </c>
      <c r="G983" s="2" t="s">
        <v>13</v>
      </c>
      <c r="H983" t="s">
        <v>14</v>
      </c>
      <c r="I983" s="1">
        <v>46086</v>
      </c>
      <c r="J983" t="s">
        <v>1734</v>
      </c>
    </row>
    <row r="984" spans="1:10" x14ac:dyDescent="0.25">
      <c r="A984" s="3">
        <v>46086</v>
      </c>
      <c r="B984" s="5" t="s">
        <v>1735</v>
      </c>
      <c r="C984" s="5" t="s">
        <v>1735</v>
      </c>
      <c r="D984" s="5" t="s">
        <v>1575</v>
      </c>
      <c r="E984" s="4" t="str">
        <f>"00971551290385"</f>
        <v>00971551290385</v>
      </c>
      <c r="F984" s="2" t="s">
        <v>12</v>
      </c>
      <c r="G984" s="2" t="s">
        <v>13</v>
      </c>
      <c r="H984" t="s">
        <v>14</v>
      </c>
      <c r="I984" s="1">
        <v>46086</v>
      </c>
      <c r="J984" t="s">
        <v>1736</v>
      </c>
    </row>
    <row r="985" spans="1:10" x14ac:dyDescent="0.25">
      <c r="A985" s="3">
        <v>46086</v>
      </c>
      <c r="B985" s="5" t="s">
        <v>1737</v>
      </c>
      <c r="C985" s="5" t="s">
        <v>1737</v>
      </c>
      <c r="D985" s="5" t="s">
        <v>1575</v>
      </c>
      <c r="E985" s="4" t="str">
        <f>"00971528149889"</f>
        <v>00971528149889</v>
      </c>
      <c r="F985" s="2" t="s">
        <v>12</v>
      </c>
      <c r="G985" s="2" t="s">
        <v>13</v>
      </c>
      <c r="H985" t="s">
        <v>14</v>
      </c>
      <c r="I985" s="1">
        <v>46086</v>
      </c>
      <c r="J985" t="s">
        <v>1738</v>
      </c>
    </row>
    <row r="986" spans="1:10" x14ac:dyDescent="0.25">
      <c r="A986" s="3">
        <v>46086</v>
      </c>
      <c r="B986" s="5" t="s">
        <v>1737</v>
      </c>
      <c r="C986" s="5" t="s">
        <v>1737</v>
      </c>
      <c r="D986" s="5" t="s">
        <v>1575</v>
      </c>
      <c r="E986" s="4" t="str">
        <f>"00971558203217"</f>
        <v>00971558203217</v>
      </c>
      <c r="F986" s="2" t="s">
        <v>12</v>
      </c>
      <c r="G986" s="2" t="s">
        <v>13</v>
      </c>
      <c r="H986" t="s">
        <v>14</v>
      </c>
      <c r="I986" s="1">
        <v>46086</v>
      </c>
      <c r="J986" t="s">
        <v>1738</v>
      </c>
    </row>
    <row r="987" spans="1:10" x14ac:dyDescent="0.25">
      <c r="A987" s="3">
        <v>46086</v>
      </c>
      <c r="B987" s="5" t="s">
        <v>1739</v>
      </c>
      <c r="C987" s="5" t="s">
        <v>1739</v>
      </c>
      <c r="D987" s="5" t="s">
        <v>1575</v>
      </c>
      <c r="E987" s="4" t="str">
        <f>"00971588500802"</f>
        <v>00971588500802</v>
      </c>
      <c r="F987" s="2" t="s">
        <v>12</v>
      </c>
      <c r="G987" s="2" t="s">
        <v>13</v>
      </c>
      <c r="H987" t="s">
        <v>14</v>
      </c>
      <c r="I987" s="1">
        <v>46086</v>
      </c>
      <c r="J987" t="s">
        <v>1740</v>
      </c>
    </row>
    <row r="988" spans="1:10" x14ac:dyDescent="0.25">
      <c r="A988" s="3">
        <v>46086</v>
      </c>
      <c r="B988" s="5" t="s">
        <v>1739</v>
      </c>
      <c r="C988" s="5" t="s">
        <v>1739</v>
      </c>
      <c r="D988" s="5" t="s">
        <v>1575</v>
      </c>
      <c r="E988" s="4" t="str">
        <f>"0097165424462"</f>
        <v>0097165424462</v>
      </c>
      <c r="F988" s="2" t="s">
        <v>12</v>
      </c>
      <c r="G988" s="2" t="s">
        <v>13</v>
      </c>
      <c r="H988" t="s">
        <v>14</v>
      </c>
      <c r="I988" s="1">
        <v>46086</v>
      </c>
      <c r="J988" t="s">
        <v>1741</v>
      </c>
    </row>
    <row r="989" spans="1:10" x14ac:dyDescent="0.25">
      <c r="A989" s="3">
        <v>46086</v>
      </c>
      <c r="B989" s="5" t="s">
        <v>1742</v>
      </c>
      <c r="C989" s="5" t="s">
        <v>1742</v>
      </c>
      <c r="D989" s="5" t="s">
        <v>1575</v>
      </c>
      <c r="E989" s="4" t="str">
        <f>"0097165345097"</f>
        <v>0097165345097</v>
      </c>
      <c r="F989" s="2" t="s">
        <v>12</v>
      </c>
      <c r="G989" s="2" t="s">
        <v>13</v>
      </c>
      <c r="H989" t="s">
        <v>14</v>
      </c>
      <c r="I989" s="1">
        <v>46086</v>
      </c>
      <c r="J989" t="s">
        <v>1743</v>
      </c>
    </row>
    <row r="990" spans="1:10" x14ac:dyDescent="0.25">
      <c r="A990" s="3">
        <v>46086</v>
      </c>
      <c r="B990" s="5" t="s">
        <v>1744</v>
      </c>
      <c r="C990" s="5" t="s">
        <v>1744</v>
      </c>
      <c r="D990" s="5" t="s">
        <v>1745</v>
      </c>
      <c r="E990" s="4" t="str">
        <f>"00971565053279"</f>
        <v>00971565053279</v>
      </c>
      <c r="F990" s="2" t="s">
        <v>12</v>
      </c>
      <c r="G990" s="2" t="s">
        <v>13</v>
      </c>
      <c r="H990" t="s">
        <v>14</v>
      </c>
      <c r="I990" s="1">
        <v>46086</v>
      </c>
      <c r="J990" t="s">
        <v>1746</v>
      </c>
    </row>
    <row r="991" spans="1:10" x14ac:dyDescent="0.25">
      <c r="A991" s="3">
        <v>46086</v>
      </c>
      <c r="B991" s="5" t="s">
        <v>1744</v>
      </c>
      <c r="C991" s="5" t="s">
        <v>1744</v>
      </c>
      <c r="D991" s="5" t="s">
        <v>1745</v>
      </c>
      <c r="E991" s="4" t="str">
        <f>"0097167667745"</f>
        <v>0097167667745</v>
      </c>
      <c r="F991" s="2" t="s">
        <v>12</v>
      </c>
      <c r="G991" s="2" t="s">
        <v>13</v>
      </c>
      <c r="H991" t="s">
        <v>14</v>
      </c>
      <c r="I991" s="1">
        <v>46086</v>
      </c>
      <c r="J991" t="s">
        <v>1747</v>
      </c>
    </row>
    <row r="992" spans="1:10" x14ac:dyDescent="0.25">
      <c r="A992" s="3">
        <v>46086</v>
      </c>
      <c r="B992" s="5" t="s">
        <v>1748</v>
      </c>
      <c r="C992" s="5" t="s">
        <v>1748</v>
      </c>
      <c r="D992" s="5" t="s">
        <v>1745</v>
      </c>
      <c r="E992" s="4" t="str">
        <f>"00971545811531"</f>
        <v>00971545811531</v>
      </c>
      <c r="F992" s="2" t="s">
        <v>12</v>
      </c>
      <c r="G992" s="2" t="s">
        <v>13</v>
      </c>
      <c r="H992" t="s">
        <v>14</v>
      </c>
      <c r="I992" s="1">
        <v>46086</v>
      </c>
      <c r="J992" t="s">
        <v>1749</v>
      </c>
    </row>
    <row r="993" spans="1:10" x14ac:dyDescent="0.25">
      <c r="A993" s="3">
        <v>46086</v>
      </c>
      <c r="B993" s="5" t="s">
        <v>1748</v>
      </c>
      <c r="C993" s="5" t="s">
        <v>1748</v>
      </c>
      <c r="D993" s="5" t="s">
        <v>1745</v>
      </c>
      <c r="E993" s="4" t="str">
        <f>"0097166787704"</f>
        <v>0097166787704</v>
      </c>
      <c r="F993" s="2" t="s">
        <v>12</v>
      </c>
      <c r="G993" s="2" t="s">
        <v>13</v>
      </c>
      <c r="H993" t="s">
        <v>14</v>
      </c>
      <c r="I993" s="1">
        <v>46086</v>
      </c>
      <c r="J993" t="s">
        <v>1750</v>
      </c>
    </row>
    <row r="994" spans="1:10" x14ac:dyDescent="0.25">
      <c r="A994" s="3">
        <v>46086</v>
      </c>
      <c r="B994" s="5" t="s">
        <v>1751</v>
      </c>
      <c r="C994" s="5" t="s">
        <v>1751</v>
      </c>
      <c r="D994" s="5" t="s">
        <v>1745</v>
      </c>
      <c r="E994" s="4" t="str">
        <f>"00971543451673"</f>
        <v>00971543451673</v>
      </c>
      <c r="F994" s="2" t="s">
        <v>12</v>
      </c>
      <c r="G994" s="2" t="s">
        <v>13</v>
      </c>
      <c r="H994" t="s">
        <v>14</v>
      </c>
      <c r="I994" s="1">
        <v>46086</v>
      </c>
      <c r="J994" t="s">
        <v>1752</v>
      </c>
    </row>
    <row r="995" spans="1:10" x14ac:dyDescent="0.25">
      <c r="A995" s="3">
        <v>46086</v>
      </c>
      <c r="B995" s="5" t="s">
        <v>1751</v>
      </c>
      <c r="C995" s="5" t="s">
        <v>1751</v>
      </c>
      <c r="D995" s="5" t="s">
        <v>1745</v>
      </c>
      <c r="E995" s="4" t="str">
        <f>"0097165214788"</f>
        <v>0097165214788</v>
      </c>
      <c r="F995" s="2" t="s">
        <v>12</v>
      </c>
      <c r="G995" s="2" t="s">
        <v>13</v>
      </c>
      <c r="H995" t="s">
        <v>14</v>
      </c>
      <c r="I995" s="1">
        <v>46086</v>
      </c>
      <c r="J995" t="s">
        <v>1753</v>
      </c>
    </row>
    <row r="996" spans="1:10" x14ac:dyDescent="0.25">
      <c r="A996" s="3">
        <v>46086</v>
      </c>
      <c r="B996" s="5" t="s">
        <v>1754</v>
      </c>
      <c r="C996" s="5" t="s">
        <v>1754</v>
      </c>
      <c r="D996" s="5" t="s">
        <v>1745</v>
      </c>
      <c r="E996" s="4" t="str">
        <f>"0097167672372"</f>
        <v>0097167672372</v>
      </c>
      <c r="F996" s="2" t="s">
        <v>12</v>
      </c>
      <c r="G996" s="2" t="s">
        <v>13</v>
      </c>
      <c r="H996" t="s">
        <v>14</v>
      </c>
      <c r="I996" s="1">
        <v>46086</v>
      </c>
      <c r="J996" t="s">
        <v>1755</v>
      </c>
    </row>
    <row r="997" spans="1:10" x14ac:dyDescent="0.25">
      <c r="A997" s="3">
        <v>46086</v>
      </c>
      <c r="B997" s="5" t="s">
        <v>1281</v>
      </c>
      <c r="C997" s="5" t="s">
        <v>1281</v>
      </c>
      <c r="D997" s="5" t="s">
        <v>1745</v>
      </c>
      <c r="E997" s="4" t="str">
        <f>"0097165266125"</f>
        <v>0097165266125</v>
      </c>
      <c r="F997" s="2" t="s">
        <v>12</v>
      </c>
      <c r="G997" s="2" t="s">
        <v>13</v>
      </c>
      <c r="H997" t="s">
        <v>14</v>
      </c>
      <c r="I997" s="1">
        <v>46086</v>
      </c>
      <c r="J997" t="s">
        <v>1756</v>
      </c>
    </row>
    <row r="998" spans="1:10" x14ac:dyDescent="0.25">
      <c r="A998" s="3">
        <v>46086</v>
      </c>
      <c r="B998" s="5" t="s">
        <v>1757</v>
      </c>
      <c r="C998" s="5" t="s">
        <v>1757</v>
      </c>
      <c r="D998" s="5" t="s">
        <v>1745</v>
      </c>
      <c r="E998" s="4" t="str">
        <f>"0097167650272"</f>
        <v>0097167650272</v>
      </c>
      <c r="F998" s="2" t="s">
        <v>12</v>
      </c>
      <c r="G998" s="2" t="s">
        <v>13</v>
      </c>
      <c r="H998" t="s">
        <v>14</v>
      </c>
      <c r="I998" s="1">
        <v>46086</v>
      </c>
      <c r="J998" t="s">
        <v>1758</v>
      </c>
    </row>
    <row r="999" spans="1:10" x14ac:dyDescent="0.25">
      <c r="A999" s="3">
        <v>46086</v>
      </c>
      <c r="B999" s="5" t="s">
        <v>1759</v>
      </c>
      <c r="C999" s="5" t="s">
        <v>1759</v>
      </c>
      <c r="D999" s="5" t="s">
        <v>1745</v>
      </c>
      <c r="E999" s="4" t="str">
        <f>"00971508676858"</f>
        <v>00971508676858</v>
      </c>
      <c r="F999" s="2" t="s">
        <v>12</v>
      </c>
      <c r="G999" s="2" t="s">
        <v>13</v>
      </c>
      <c r="H999" t="s">
        <v>14</v>
      </c>
      <c r="I999" s="1">
        <v>46086</v>
      </c>
      <c r="J999" t="s">
        <v>1760</v>
      </c>
    </row>
    <row r="1000" spans="1:10" x14ac:dyDescent="0.25">
      <c r="A1000" s="3">
        <v>46086</v>
      </c>
      <c r="B1000" s="5" t="s">
        <v>1761</v>
      </c>
      <c r="C1000" s="5" t="s">
        <v>1761</v>
      </c>
      <c r="D1000" s="5" t="s">
        <v>1745</v>
      </c>
      <c r="E1000" s="4" t="str">
        <f>"00971504972907"</f>
        <v>00971504972907</v>
      </c>
      <c r="F1000" s="2" t="s">
        <v>12</v>
      </c>
      <c r="G1000" s="2" t="s">
        <v>13</v>
      </c>
      <c r="H1000" t="s">
        <v>14</v>
      </c>
      <c r="I1000" s="1">
        <v>46086</v>
      </c>
      <c r="J1000" t="s">
        <v>1762</v>
      </c>
    </row>
    <row r="1001" spans="1:10" x14ac:dyDescent="0.25">
      <c r="A1001" s="3">
        <v>46086</v>
      </c>
      <c r="B1001" s="5" t="s">
        <v>1761</v>
      </c>
      <c r="C1001" s="5" t="s">
        <v>1761</v>
      </c>
      <c r="D1001" s="5" t="s">
        <v>1745</v>
      </c>
      <c r="E1001" s="4" t="str">
        <f>"0097167646677"</f>
        <v>0097167646677</v>
      </c>
      <c r="F1001" s="2" t="s">
        <v>12</v>
      </c>
      <c r="G1001" s="2" t="s">
        <v>13</v>
      </c>
      <c r="H1001" t="s">
        <v>14</v>
      </c>
      <c r="I1001" s="1">
        <v>46086</v>
      </c>
      <c r="J1001" t="s">
        <v>1763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TEMP_LEADS_TRACKER_1000_UAE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Network Master</cp:lastModifiedBy>
  <dcterms:created xsi:type="dcterms:W3CDTF">2026-03-05T23:09:23Z</dcterms:created>
  <dcterms:modified xsi:type="dcterms:W3CDTF">2026-03-05T23:09:23Z</dcterms:modified>
</cp:coreProperties>
</file>