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6b7891681c32f5/Desktop/client lead/organized/"/>
    </mc:Choice>
  </mc:AlternateContent>
  <xr:revisionPtr revIDLastSave="0" documentId="8_{B6082A1C-5BC9-46D7-B5DC-AB113A2809A6}" xr6:coauthVersionLast="47" xr6:coauthVersionMax="47" xr10:uidLastSave="{00000000-0000-0000-0000-000000000000}"/>
  <bookViews>
    <workbookView xWindow="-108" yWindow="-108" windowWidth="23256" windowHeight="12456" xr2:uid="{D6CBC781-6705-4EAC-8623-9899F8CBC47E}"/>
  </bookViews>
  <sheets>
    <sheet name="TEMP_LEADS_Ajm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</calcChain>
</file>

<file path=xl/sharedStrings.xml><?xml version="1.0" encoding="utf-8"?>
<sst xmlns="http://schemas.openxmlformats.org/spreadsheetml/2006/main" count="467" uniqueCount="171">
  <si>
    <t>date</t>
  </si>
  <si>
    <t>lead_name</t>
  </si>
  <si>
    <t>business</t>
  </si>
  <si>
    <t>area</t>
  </si>
  <si>
    <t>phone_or_link</t>
  </si>
  <si>
    <t>channel</t>
  </si>
  <si>
    <t>status</t>
  </si>
  <si>
    <t>next_action</t>
  </si>
  <si>
    <t>next_date</t>
  </si>
  <si>
    <t>notes</t>
  </si>
  <si>
    <t>lead_id</t>
  </si>
  <si>
    <t>2000 General Trading</t>
  </si>
  <si>
    <t>Ajman</t>
  </si>
  <si>
    <t>WhatsApp</t>
  </si>
  <si>
    <t>NEW</t>
  </si>
  <si>
    <t>Review and send compliant outreach</t>
  </si>
  <si>
    <t>YellowPages UAE profile | landline_or_tollfree | https://www.yellowpages-uae.com/2000-general-trading-135611</t>
  </si>
  <si>
    <t>UAE0122</t>
  </si>
  <si>
    <t>2000 Pharmacy</t>
  </si>
  <si>
    <t>YellowPages UAE profile | landline_or_tollfree | https://www.yellowpages-uae.com/2000-pharmacy-170972</t>
  </si>
  <si>
    <t>UAE0123</t>
  </si>
  <si>
    <t>24/7 Battery</t>
  </si>
  <si>
    <t>YellowPages UAE profile | mobile | https://www.yellowpages-uae.com/24-7-battery-171224</t>
  </si>
  <si>
    <t>UAE0124</t>
  </si>
  <si>
    <t>UAE0125</t>
  </si>
  <si>
    <t>247 Steel Company</t>
  </si>
  <si>
    <t>YellowPages UAE profile | mobile | https://www.yellowpages-uae.com/247-steel-company-185744</t>
  </si>
  <si>
    <t>UAE0126</t>
  </si>
  <si>
    <t>YellowPages UAE profile | landline_or_tollfree | https://www.yellowpages-uae.com/247-steel-company-185744</t>
  </si>
  <si>
    <t>UAE0127</t>
  </si>
  <si>
    <t>4 Star Garments Workshop</t>
  </si>
  <si>
    <t>YellowPages UAE profile | mobile | https://www.yellowpages-uae.com/4-star-garments-workshop-157484</t>
  </si>
  <si>
    <t>UAE0128</t>
  </si>
  <si>
    <t>UAE0129</t>
  </si>
  <si>
    <t>A and P Group, The</t>
  </si>
  <si>
    <t>YellowPages UAE profile | landline_or_tollfree | https://www.yellowpages-uae.com/a-and-p-group-the-111925</t>
  </si>
  <si>
    <t>UAE0130</t>
  </si>
  <si>
    <t>A J Design Consultants</t>
  </si>
  <si>
    <t>YellowPages UAE profile | landline_or_tollfree | https://www.yellowpages-uae.com/a-j-design-consultants-150303</t>
  </si>
  <si>
    <t>UAE0131</t>
  </si>
  <si>
    <t>A J Security And Safety Consultancies</t>
  </si>
  <si>
    <t>YellowPages UAE profile | landline_or_tollfree | https://www.yellowpages-uae.com/a-j-security-and-safety-consultancies-169368</t>
  </si>
  <si>
    <t>UAE0132</t>
  </si>
  <si>
    <t>A Kazemi General Trading Co</t>
  </si>
  <si>
    <t>YellowPages UAE profile | landline_or_tollfree | https://www.yellowpages-uae.com/a-kazemi-general-trading-co-137009</t>
  </si>
  <si>
    <t>UAE0133</t>
  </si>
  <si>
    <t>A M A Perfumes Manufacturing LLC</t>
  </si>
  <si>
    <t>YellowPages UAE profile | landline_or_tollfree | https://www.yellowpages-uae.com/a-m-a-perfumes-manufacturing-llc-109244</t>
  </si>
  <si>
    <t>UAE0134</t>
  </si>
  <si>
    <t>A M Beauty Life</t>
  </si>
  <si>
    <t>YellowPages UAE profile | mobile | https://www.yellowpages-uae.com/a-m-beauty-life-169995</t>
  </si>
  <si>
    <t>UAE0135</t>
  </si>
  <si>
    <t>A M Bldg Mat Trdg</t>
  </si>
  <si>
    <t>YellowPages UAE profile | landline_or_tollfree | https://www.yellowpages-uae.com/a-m-bldg-mat-trdg-117583</t>
  </si>
  <si>
    <t>UAE0136</t>
  </si>
  <si>
    <t>A Nakhlah Real Estate Invest Center</t>
  </si>
  <si>
    <t>YellowPages UAE profile | landline_or_tollfree | https://www.yellowpages-uae.com/a-nakhlah-real-estate-invest-center-173244</t>
  </si>
  <si>
    <t>UAE0137</t>
  </si>
  <si>
    <t>A R International General Trading</t>
  </si>
  <si>
    <t>YellowPages UAE profile | landline_or_tollfree | https://www.yellowpages-uae.com/a-r-international-general-trading-128383</t>
  </si>
  <si>
    <t>UAE0138</t>
  </si>
  <si>
    <t>A To Z Home Appliances Trading LLC</t>
  </si>
  <si>
    <t>YellowPages UAE profile | landline_or_tollfree | https://www.yellowpages-uae.com/a-to-z-home-appliances-trading-llc-169383</t>
  </si>
  <si>
    <t>UAE0139</t>
  </si>
  <si>
    <t>A to Z Studio</t>
  </si>
  <si>
    <t>YellowPages UAE profile | landline_or_tollfree | https://www.yellowpages-uae.com/a-to-z-studio-169348</t>
  </si>
  <si>
    <t>UAE0140</t>
  </si>
  <si>
    <t>A to Z Typing Center</t>
  </si>
  <si>
    <t>YellowPages UAE profile | landline_or_tollfree | https://www.yellowpages-uae.com/a-to-z-typing-center-169382</t>
  </si>
  <si>
    <t>UAE0141</t>
  </si>
  <si>
    <t>A V M Readymade Garments Trading</t>
  </si>
  <si>
    <t>YellowPages UAE profile | mobile | https://www.yellowpages-uae.com/a-v-m-readymade-garments-trading-143881</t>
  </si>
  <si>
    <t>UAE0142</t>
  </si>
  <si>
    <t>A'Diwan Real Estate Investment Co</t>
  </si>
  <si>
    <t>YellowPages UAE profile | landline_or_tollfree | https://www.yellowpages-uae.com/a-diwan-real-estate-investment-co-134333</t>
  </si>
  <si>
    <t>UAE0143</t>
  </si>
  <si>
    <t>AA Car Washing and Accessories</t>
  </si>
  <si>
    <t>YellowPages UAE profile | mobile | https://www.yellowpages-uae.com/aa-car-washing-and-accessories-190643</t>
  </si>
  <si>
    <t>UAE0144</t>
  </si>
  <si>
    <t>YellowPages UAE profile | landline_or_tollfree | https://www.yellowpages-uae.com/aa-car-washing-and-accessories-190643</t>
  </si>
  <si>
    <t>UAE0145</t>
  </si>
  <si>
    <t>Aaban Building Cleaning And Pest Control Service</t>
  </si>
  <si>
    <t>YellowPages UAE profile | mobile | https://www.yellowpages-uae.com/aaban-building-cleaning-and-pest-control-service-182576</t>
  </si>
  <si>
    <t>UAE0146</t>
  </si>
  <si>
    <t>Aahad Car Recovery Services</t>
  </si>
  <si>
    <t>YellowPages UAE profile | mobile | https://www.yellowpages-uae.com/aahad-car-recovery-services-176597</t>
  </si>
  <si>
    <t>UAE0147</t>
  </si>
  <si>
    <t>Aaliya Medical Centre</t>
  </si>
  <si>
    <t>YellowPages UAE profile | landline_or_tollfree | https://www.yellowpages-uae.com/aaliya-medical-centre-143886</t>
  </si>
  <si>
    <t>UAE0148</t>
  </si>
  <si>
    <t>Aamir Car Recovery</t>
  </si>
  <si>
    <t>YellowPages UAE profile | mobile | https://www.yellowpages-uae.com/aamir-car-recovery-178483</t>
  </si>
  <si>
    <t>UAE0149</t>
  </si>
  <si>
    <t>Aamraa Building Materials Trading LLC</t>
  </si>
  <si>
    <t>YellowPages UAE profile | mobile | https://www.yellowpages-uae.com/aamraa-building-materials-trading-llc-188927</t>
  </si>
  <si>
    <t>UAE0150</t>
  </si>
  <si>
    <t>Aara Stationery</t>
  </si>
  <si>
    <t>YellowPages UAE profile | landline_or_tollfree | https://www.yellowpages-uae.com/aara-stationery-169365</t>
  </si>
  <si>
    <t>UAE0151</t>
  </si>
  <si>
    <t>Aaron International FZE</t>
  </si>
  <si>
    <t>YellowPages UAE profile | mobile | https://www.yellowpages-uae.com/aaron-international-fze-168923</t>
  </si>
  <si>
    <t>UAE0152</t>
  </si>
  <si>
    <t>YellowPages UAE profile | landline_or_tollfree | https://www.yellowpages-uae.com/aaron-international-fze-168923</t>
  </si>
  <si>
    <t>UAE0153</t>
  </si>
  <si>
    <t>Aarson Garments &amp; Textiles Trading</t>
  </si>
  <si>
    <t>YellowPages UAE profile | landline_or_tollfree | https://www.yellowpages-uae.com/aarson-garments-textiles-trading-169370</t>
  </si>
  <si>
    <t>UAE0154</t>
  </si>
  <si>
    <t>Aasa Cargo</t>
  </si>
  <si>
    <t>YellowPages UAE profile | landline_or_tollfree | https://www.yellowpages-uae.com/aasa-cargo-169361</t>
  </si>
  <si>
    <t>UAE0155</t>
  </si>
  <si>
    <t>AASH Rubber Industries LLC</t>
  </si>
  <si>
    <t>YellowPages UAE profile | mobile | https://www.yellowpages-uae.com/aash-rubber-industries-llc-192975</t>
  </si>
  <si>
    <t>UAE0156</t>
  </si>
  <si>
    <t>YellowPages UAE profile | landline_or_tollfree | https://www.yellowpages-uae.com/aash-rubber-industries-llc-192975</t>
  </si>
  <si>
    <t>UAE0157</t>
  </si>
  <si>
    <t>Aatif Ali Building Materials Trading LLC</t>
  </si>
  <si>
    <t>YellowPages UAE profile | mobile | https://www.yellowpages-uae.com/aatif-ali-building-materials-trading-llc-195263</t>
  </si>
  <si>
    <t>UAE0158</t>
  </si>
  <si>
    <t>YellowPages UAE profile | landline_or_tollfree | https://www.yellowpages-uae.com/aatif-ali-building-materials-trading-llc-195263</t>
  </si>
  <si>
    <t>UAE0159</t>
  </si>
  <si>
    <t>Aatish General Trading FZE</t>
  </si>
  <si>
    <t>YellowPages UAE profile | mobile | https://www.yellowpages-uae.com/aatish-general-trading-fze-176080</t>
  </si>
  <si>
    <t>UAE0160</t>
  </si>
  <si>
    <t>YellowPages UAE profile | landline_or_tollfree | https://www.yellowpages-uae.com/aatish-general-trading-fze-176080</t>
  </si>
  <si>
    <t>UAE0161</t>
  </si>
  <si>
    <t>Abalone Fish Processing LLC</t>
  </si>
  <si>
    <t>YellowPages UAE profile | landline_or_tollfree | https://www.yellowpages-uae.com/abalone-fish-processing-llc-169387</t>
  </si>
  <si>
    <t>UAE0162</t>
  </si>
  <si>
    <t>Abdul Ahmed Real Estate Office</t>
  </si>
  <si>
    <t>YellowPages UAE profile | landline_or_tollfree | https://www.yellowpages-uae.com/abdul-ahmed-real-estate-office-172400</t>
  </si>
  <si>
    <t>UAE0163</t>
  </si>
  <si>
    <t>Abdul Azeem Aluminium and Glass Works</t>
  </si>
  <si>
    <t>YellowPages UAE profile | landline_or_tollfree | https://www.yellowpages-uae.com/abdul-azeem-aluminium-and-glass-works-145905</t>
  </si>
  <si>
    <t>UAE0164</t>
  </si>
  <si>
    <t>Abdul Aziz Elec Trading and Cont LLC</t>
  </si>
  <si>
    <t>YellowPages UAE profile | landline_or_tollfree | https://www.yellowpages-uae.com/abdul-aziz-elec-trading-and-cont-llc-121865</t>
  </si>
  <si>
    <t>UAE0165</t>
  </si>
  <si>
    <t>Abdul Aziz Medical Center</t>
  </si>
  <si>
    <t>YellowPages UAE profile | mobile | https://www.yellowpages-uae.com/abdul-aziz-medical-center-177111</t>
  </si>
  <si>
    <t>UAE0166</t>
  </si>
  <si>
    <t>YellowPages UAE profile | landline_or_tollfree | https://www.yellowpages-uae.com/abdul-aziz-medical-center-177111</t>
  </si>
  <si>
    <t>UAE0167</t>
  </si>
  <si>
    <t>Abdul Basit Elect and Sanitary Tools Trading</t>
  </si>
  <si>
    <t>YellowPages UAE profile | landline_or_tollfree | https://www.yellowpages-uae.com/abdul-basit-elect-and-sanitary-tools-trading-139327</t>
  </si>
  <si>
    <t>UAE0168</t>
  </si>
  <si>
    <t>Abdul Gafoor Carpentry</t>
  </si>
  <si>
    <t>YellowPages UAE profile | mobile | https://www.yellowpages-uae.com/abdul-gafoor-carpentry-180574</t>
  </si>
  <si>
    <t>UAE0169</t>
  </si>
  <si>
    <t>UAE0170</t>
  </si>
  <si>
    <t>Abdul Hadi Steel &amp; Aluminum Co. LLC</t>
  </si>
  <si>
    <t>YellowPages UAE profile | mobile | https://www.yellowpages-uae.com/abdul-hadi-steel-aluminum-co-llc-136292</t>
  </si>
  <si>
    <t>UAE0171</t>
  </si>
  <si>
    <t>YellowPages UAE profile | landline_or_tollfree | https://www.yellowpages-uae.com/abdul-hadi-steel-aluminum-co-llc-136292</t>
  </si>
  <si>
    <t>UAE0172</t>
  </si>
  <si>
    <t>Abdul Jalil Steel Workshop</t>
  </si>
  <si>
    <t>YellowPages UAE profile | mobile | https://www.yellowpages-uae.com/abdul-jalil-steel-workshop-146123</t>
  </si>
  <si>
    <t>UAE0173</t>
  </si>
  <si>
    <t>YellowPages UAE profile | landline_or_tollfree | https://www.yellowpages-uae.com/abdul-jalil-steel-workshop-146123</t>
  </si>
  <si>
    <t>UAE0174</t>
  </si>
  <si>
    <t>Abdul Naser Building Material Trading</t>
  </si>
  <si>
    <t>YellowPages UAE profile | landline_or_tollfree | https://www.yellowpages-uae.com/abdul-naser-building-material-trading-126823</t>
  </si>
  <si>
    <t>UAE0175</t>
  </si>
  <si>
    <t>Abdul Nasser Building Materials Trading</t>
  </si>
  <si>
    <t>YellowPages UAE profile | landline_or_tollfree | https://www.yellowpages-uae.com/abdul-nasser-building-materials-trading-169384</t>
  </si>
  <si>
    <t>UAE0176</t>
  </si>
  <si>
    <t>Abdul Razzaq Mohiddin Abdulla Trading Establishment</t>
  </si>
  <si>
    <t>YellowPages UAE profile | landline_or_tollfree | https://www.yellowpages-uae.com/abdul-razzaq-mohiddin-abdulla-trading-establishment-181957</t>
  </si>
  <si>
    <t>UAE0177</t>
  </si>
  <si>
    <t>D S S Steel LLC</t>
  </si>
  <si>
    <t>YellowPages UAE profile | landline_or_tollfree | https://www.yellowpages-uae.com/a-n-a-steel-trading-llc-127610</t>
  </si>
  <si>
    <t>UAE0178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</si>
</sst>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alignment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AE8FBC-8039-48BD-B982-E9409EEDEB85}" name="T_ZabayenAjmanVIP" displayName="T_ZabayenAjmanVIP" ref="A1:K58" totalsRowShown="0" headerRowDxfId="0">
  <autoFilter ref="A1:K58" xr:uid="{5AAE8FBC-8039-48BD-B982-E9409EEDEB85}"/>
  <tableColumns count="11">
    <tableColumn id="1" xr3:uid="{6F095CD4-F0E7-42D6-A1EC-F659BF6A19EE}" name="date" dataDxfId="5"/>
    <tableColumn id="2" xr3:uid="{0CF82F44-6451-4894-AD3A-3FA4E020326C}" name="lead_name" dataDxfId="4"/>
    <tableColumn id="3" xr3:uid="{38D8C34D-DF31-4182-BDC0-CB1194E98C5A}" name="business" dataDxfId="3"/>
    <tableColumn id="4" xr3:uid="{F2D9DCFF-4D92-4D1D-80D8-9D8B767294C1}" name="area" dataDxfId="1"/>
    <tableColumn id="5" xr3:uid="{096EC251-97A6-423D-AF12-B512C2C53271}" name="phone_or_link" dataDxfId="2"/>
    <tableColumn id="6" xr3:uid="{9B6EAB86-27AC-40C0-9FFA-EE73B0223531}" name="channel" dataDxfId="7"/>
    <tableColumn id="7" xr3:uid="{C5BD501F-6719-4760-A312-B2E48D9C2B28}" name="status" dataDxfId="6"/>
    <tableColumn id="8" xr3:uid="{741E9A44-41B3-4BFE-B3CC-F6096895B3B6}" name="next_action"/>
    <tableColumn id="9" xr3:uid="{A6E6472A-164D-4BAF-9F24-58077BA7EA77}" name="next_date" dataDxfId="8"/>
    <tableColumn id="10" xr3:uid="{C4B5C31C-026A-4466-81F7-0229C07C53ED}" name="notes"/>
    <tableColumn id="11" xr3:uid="{4084103E-66C6-47CA-986B-0340BE06AF43}" name="lead_id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5C56B-6826-43CA-B65E-2F67A2D1FEA8}">
  <dimension ref="A1:K58"/>
  <sheetViews>
    <sheetView tabSelected="1" workbookViewId="0"/>
  </sheetViews>
  <sheetFormatPr defaultRowHeight="13.8" x14ac:dyDescent="0.25"/>
  <cols>
    <col min="1" max="1" width="10.09765625" style="2" bestFit="1" customWidth="1"/>
    <col min="2" max="3" width="45.19921875" style="5" bestFit="1" customWidth="1"/>
    <col min="4" max="4" width="6.69921875" style="5" bestFit="1" customWidth="1"/>
    <col min="5" max="5" width="17.3984375" style="2" bestFit="1" customWidth="1"/>
    <col min="6" max="6" width="11.796875" style="2" bestFit="1" customWidth="1"/>
    <col min="7" max="7" width="10.19921875" style="2" bestFit="1" customWidth="1"/>
    <col min="8" max="8" width="30.796875" bestFit="1" customWidth="1"/>
    <col min="9" max="9" width="11.59765625" bestFit="1" customWidth="1"/>
    <col min="10" max="10" width="118.09765625" bestFit="1" customWidth="1"/>
    <col min="11" max="11" width="9.19921875" bestFit="1" customWidth="1"/>
  </cols>
  <sheetData>
    <row r="1" spans="1:11" s="8" customFormat="1" ht="25.05" customHeight="1" x14ac:dyDescent="0.25">
      <c r="A1" s="6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 x14ac:dyDescent="0.25">
      <c r="A2" s="3">
        <v>46086</v>
      </c>
      <c r="B2" s="5" t="s">
        <v>11</v>
      </c>
      <c r="C2" s="5" t="s">
        <v>11</v>
      </c>
      <c r="D2" s="5" t="s">
        <v>12</v>
      </c>
      <c r="E2" s="4" t="str">
        <f>"0097167442500"</f>
        <v>0097167442500</v>
      </c>
      <c r="F2" s="2" t="s">
        <v>13</v>
      </c>
      <c r="G2" s="2" t="s">
        <v>14</v>
      </c>
      <c r="H2" t="s">
        <v>15</v>
      </c>
      <c r="I2" s="1">
        <v>46086</v>
      </c>
      <c r="J2" t="s">
        <v>16</v>
      </c>
      <c r="K2" t="s">
        <v>17</v>
      </c>
    </row>
    <row r="3" spans="1:11" x14ac:dyDescent="0.25">
      <c r="A3" s="3">
        <v>46086</v>
      </c>
      <c r="B3" s="5" t="s">
        <v>18</v>
      </c>
      <c r="C3" s="5" t="s">
        <v>18</v>
      </c>
      <c r="D3" s="5" t="s">
        <v>12</v>
      </c>
      <c r="E3" s="4" t="str">
        <f>"0097167407762"</f>
        <v>0097167407762</v>
      </c>
      <c r="F3" s="2" t="s">
        <v>13</v>
      </c>
      <c r="G3" s="2" t="s">
        <v>14</v>
      </c>
      <c r="H3" t="s">
        <v>15</v>
      </c>
      <c r="I3" s="1">
        <v>46086</v>
      </c>
      <c r="J3" t="s">
        <v>19</v>
      </c>
      <c r="K3" t="s">
        <v>20</v>
      </c>
    </row>
    <row r="4" spans="1:11" x14ac:dyDescent="0.25">
      <c r="A4" s="3">
        <v>46086</v>
      </c>
      <c r="B4" s="5" t="s">
        <v>21</v>
      </c>
      <c r="C4" s="5" t="s">
        <v>21</v>
      </c>
      <c r="D4" s="5" t="s">
        <v>12</v>
      </c>
      <c r="E4" s="4" t="str">
        <f>"00971561905190"</f>
        <v>00971561905190</v>
      </c>
      <c r="F4" s="2" t="s">
        <v>13</v>
      </c>
      <c r="G4" s="2" t="s">
        <v>14</v>
      </c>
      <c r="H4" t="s">
        <v>15</v>
      </c>
      <c r="I4" s="1">
        <v>46086</v>
      </c>
      <c r="J4" t="s">
        <v>22</v>
      </c>
      <c r="K4" t="s">
        <v>23</v>
      </c>
    </row>
    <row r="5" spans="1:11" x14ac:dyDescent="0.25">
      <c r="A5" s="3">
        <v>46086</v>
      </c>
      <c r="B5" s="5" t="s">
        <v>21</v>
      </c>
      <c r="C5" s="5" t="s">
        <v>21</v>
      </c>
      <c r="D5" s="5" t="s">
        <v>12</v>
      </c>
      <c r="E5" s="4" t="str">
        <f>"00971565340387"</f>
        <v>00971565340387</v>
      </c>
      <c r="F5" s="2" t="s">
        <v>13</v>
      </c>
      <c r="G5" s="2" t="s">
        <v>14</v>
      </c>
      <c r="H5" t="s">
        <v>15</v>
      </c>
      <c r="I5" s="1">
        <v>46086</v>
      </c>
      <c r="J5" t="s">
        <v>22</v>
      </c>
      <c r="K5" t="s">
        <v>24</v>
      </c>
    </row>
    <row r="6" spans="1:11" x14ac:dyDescent="0.25">
      <c r="A6" s="3">
        <v>46086</v>
      </c>
      <c r="B6" s="5" t="s">
        <v>25</v>
      </c>
      <c r="C6" s="5" t="s">
        <v>25</v>
      </c>
      <c r="D6" s="5" t="s">
        <v>12</v>
      </c>
      <c r="E6" s="4" t="str">
        <f>"00971581484477"</f>
        <v>00971581484477</v>
      </c>
      <c r="F6" s="2" t="s">
        <v>13</v>
      </c>
      <c r="G6" s="2" t="s">
        <v>14</v>
      </c>
      <c r="H6" t="s">
        <v>15</v>
      </c>
      <c r="I6" s="1">
        <v>46086</v>
      </c>
      <c r="J6" t="s">
        <v>26</v>
      </c>
      <c r="K6" t="s">
        <v>27</v>
      </c>
    </row>
    <row r="7" spans="1:11" x14ac:dyDescent="0.25">
      <c r="A7" s="3">
        <v>46086</v>
      </c>
      <c r="B7" s="5" t="s">
        <v>25</v>
      </c>
      <c r="C7" s="5" t="s">
        <v>25</v>
      </c>
      <c r="D7" s="5" t="s">
        <v>12</v>
      </c>
      <c r="E7" s="4" t="str">
        <f>"0097165240063"</f>
        <v>0097165240063</v>
      </c>
      <c r="F7" s="2" t="s">
        <v>13</v>
      </c>
      <c r="G7" s="2" t="s">
        <v>14</v>
      </c>
      <c r="H7" t="s">
        <v>15</v>
      </c>
      <c r="I7" s="1">
        <v>46086</v>
      </c>
      <c r="J7" t="s">
        <v>28</v>
      </c>
      <c r="K7" t="s">
        <v>29</v>
      </c>
    </row>
    <row r="8" spans="1:11" x14ac:dyDescent="0.25">
      <c r="A8" s="3">
        <v>46086</v>
      </c>
      <c r="B8" s="5" t="s">
        <v>30</v>
      </c>
      <c r="C8" s="5" t="s">
        <v>30</v>
      </c>
      <c r="D8" s="5" t="s">
        <v>12</v>
      </c>
      <c r="E8" s="4" t="str">
        <f>"00971509418432"</f>
        <v>00971509418432</v>
      </c>
      <c r="F8" s="2" t="s">
        <v>13</v>
      </c>
      <c r="G8" s="2" t="s">
        <v>14</v>
      </c>
      <c r="H8" t="s">
        <v>15</v>
      </c>
      <c r="I8" s="1">
        <v>46086</v>
      </c>
      <c r="J8" t="s">
        <v>31</v>
      </c>
      <c r="K8" t="s">
        <v>32</v>
      </c>
    </row>
    <row r="9" spans="1:11" x14ac:dyDescent="0.25">
      <c r="A9" s="3">
        <v>46086</v>
      </c>
      <c r="B9" s="5" t="s">
        <v>30</v>
      </c>
      <c r="C9" s="5" t="s">
        <v>30</v>
      </c>
      <c r="D9" s="5" t="s">
        <v>12</v>
      </c>
      <c r="E9" s="4" t="str">
        <f>"00971556960957"</f>
        <v>00971556960957</v>
      </c>
      <c r="F9" s="2" t="s">
        <v>13</v>
      </c>
      <c r="G9" s="2" t="s">
        <v>14</v>
      </c>
      <c r="H9" t="s">
        <v>15</v>
      </c>
      <c r="I9" s="1">
        <v>46086</v>
      </c>
      <c r="J9" t="s">
        <v>31</v>
      </c>
      <c r="K9" t="s">
        <v>33</v>
      </c>
    </row>
    <row r="10" spans="1:11" x14ac:dyDescent="0.25">
      <c r="A10" s="3">
        <v>46086</v>
      </c>
      <c r="B10" s="5" t="s">
        <v>34</v>
      </c>
      <c r="C10" s="5" t="s">
        <v>34</v>
      </c>
      <c r="D10" s="5" t="s">
        <v>12</v>
      </c>
      <c r="E10" s="4" t="str">
        <f>"0097167436542"</f>
        <v>0097167436542</v>
      </c>
      <c r="F10" s="2" t="s">
        <v>13</v>
      </c>
      <c r="G10" s="2" t="s">
        <v>14</v>
      </c>
      <c r="H10" t="s">
        <v>15</v>
      </c>
      <c r="I10" s="1">
        <v>46086</v>
      </c>
      <c r="J10" t="s">
        <v>35</v>
      </c>
      <c r="K10" t="s">
        <v>36</v>
      </c>
    </row>
    <row r="11" spans="1:11" x14ac:dyDescent="0.25">
      <c r="A11" s="3">
        <v>46086</v>
      </c>
      <c r="B11" s="5" t="s">
        <v>37</v>
      </c>
      <c r="C11" s="5" t="s">
        <v>37</v>
      </c>
      <c r="D11" s="5" t="s">
        <v>12</v>
      </c>
      <c r="E11" s="4" t="str">
        <f>"0097167425555"</f>
        <v>0097167425555</v>
      </c>
      <c r="F11" s="2" t="s">
        <v>13</v>
      </c>
      <c r="G11" s="2" t="s">
        <v>14</v>
      </c>
      <c r="H11" t="s">
        <v>15</v>
      </c>
      <c r="I11" s="1">
        <v>46086</v>
      </c>
      <c r="J11" t="s">
        <v>38</v>
      </c>
      <c r="K11" t="s">
        <v>39</v>
      </c>
    </row>
    <row r="12" spans="1:11" x14ac:dyDescent="0.25">
      <c r="A12" s="3">
        <v>46086</v>
      </c>
      <c r="B12" s="5" t="s">
        <v>40</v>
      </c>
      <c r="C12" s="5" t="s">
        <v>40</v>
      </c>
      <c r="D12" s="5" t="s">
        <v>12</v>
      </c>
      <c r="E12" s="4" t="str">
        <f>"0097167444412"</f>
        <v>0097167444412</v>
      </c>
      <c r="F12" s="2" t="s">
        <v>13</v>
      </c>
      <c r="G12" s="2" t="s">
        <v>14</v>
      </c>
      <c r="H12" t="s">
        <v>15</v>
      </c>
      <c r="I12" s="1">
        <v>46086</v>
      </c>
      <c r="J12" t="s">
        <v>41</v>
      </c>
      <c r="K12" t="s">
        <v>42</v>
      </c>
    </row>
    <row r="13" spans="1:11" x14ac:dyDescent="0.25">
      <c r="A13" s="3">
        <v>46086</v>
      </c>
      <c r="B13" s="5" t="s">
        <v>43</v>
      </c>
      <c r="C13" s="5" t="s">
        <v>43</v>
      </c>
      <c r="D13" s="5" t="s">
        <v>12</v>
      </c>
      <c r="E13" s="4" t="str">
        <f>"0097167427908"</f>
        <v>0097167427908</v>
      </c>
      <c r="F13" s="2" t="s">
        <v>13</v>
      </c>
      <c r="G13" s="2" t="s">
        <v>14</v>
      </c>
      <c r="H13" t="s">
        <v>15</v>
      </c>
      <c r="I13" s="1">
        <v>46086</v>
      </c>
      <c r="J13" t="s">
        <v>44</v>
      </c>
      <c r="K13" t="s">
        <v>45</v>
      </c>
    </row>
    <row r="14" spans="1:11" x14ac:dyDescent="0.25">
      <c r="A14" s="3">
        <v>46086</v>
      </c>
      <c r="B14" s="5" t="s">
        <v>46</v>
      </c>
      <c r="C14" s="5" t="s">
        <v>46</v>
      </c>
      <c r="D14" s="5" t="s">
        <v>12</v>
      </c>
      <c r="E14" s="4" t="str">
        <f>"0097167432220"</f>
        <v>0097167432220</v>
      </c>
      <c r="F14" s="2" t="s">
        <v>13</v>
      </c>
      <c r="G14" s="2" t="s">
        <v>14</v>
      </c>
      <c r="H14" t="s">
        <v>15</v>
      </c>
      <c r="I14" s="1">
        <v>46086</v>
      </c>
      <c r="J14" t="s">
        <v>47</v>
      </c>
      <c r="K14" t="s">
        <v>48</v>
      </c>
    </row>
    <row r="15" spans="1:11" x14ac:dyDescent="0.25">
      <c r="A15" s="3">
        <v>46086</v>
      </c>
      <c r="B15" s="5" t="s">
        <v>49</v>
      </c>
      <c r="C15" s="5" t="s">
        <v>49</v>
      </c>
      <c r="D15" s="5" t="s">
        <v>12</v>
      </c>
      <c r="E15" s="4" t="str">
        <f>"00971529692287"</f>
        <v>00971529692287</v>
      </c>
      <c r="F15" s="2" t="s">
        <v>13</v>
      </c>
      <c r="G15" s="2" t="s">
        <v>14</v>
      </c>
      <c r="H15" t="s">
        <v>15</v>
      </c>
      <c r="I15" s="1">
        <v>46086</v>
      </c>
      <c r="J15" t="s">
        <v>50</v>
      </c>
      <c r="K15" t="s">
        <v>51</v>
      </c>
    </row>
    <row r="16" spans="1:11" x14ac:dyDescent="0.25">
      <c r="A16" s="3">
        <v>46086</v>
      </c>
      <c r="B16" s="5" t="s">
        <v>52</v>
      </c>
      <c r="C16" s="5" t="s">
        <v>52</v>
      </c>
      <c r="D16" s="5" t="s">
        <v>12</v>
      </c>
      <c r="E16" s="4" t="str">
        <f>"0097167438773"</f>
        <v>0097167438773</v>
      </c>
      <c r="F16" s="2" t="s">
        <v>13</v>
      </c>
      <c r="G16" s="2" t="s">
        <v>14</v>
      </c>
      <c r="H16" t="s">
        <v>15</v>
      </c>
      <c r="I16" s="1">
        <v>46086</v>
      </c>
      <c r="J16" t="s">
        <v>53</v>
      </c>
      <c r="K16" t="s">
        <v>54</v>
      </c>
    </row>
    <row r="17" spans="1:11" x14ac:dyDescent="0.25">
      <c r="A17" s="3">
        <v>46086</v>
      </c>
      <c r="B17" s="5" t="s">
        <v>55</v>
      </c>
      <c r="C17" s="5" t="s">
        <v>55</v>
      </c>
      <c r="D17" s="5" t="s">
        <v>12</v>
      </c>
      <c r="E17" s="4" t="str">
        <f>"0097167480904"</f>
        <v>0097167480904</v>
      </c>
      <c r="F17" s="2" t="s">
        <v>13</v>
      </c>
      <c r="G17" s="2" t="s">
        <v>14</v>
      </c>
      <c r="H17" t="s">
        <v>15</v>
      </c>
      <c r="I17" s="1">
        <v>46086</v>
      </c>
      <c r="J17" t="s">
        <v>56</v>
      </c>
      <c r="K17" t="s">
        <v>57</v>
      </c>
    </row>
    <row r="18" spans="1:11" x14ac:dyDescent="0.25">
      <c r="A18" s="3">
        <v>46086</v>
      </c>
      <c r="B18" s="5" t="s">
        <v>58</v>
      </c>
      <c r="C18" s="5" t="s">
        <v>58</v>
      </c>
      <c r="D18" s="5" t="s">
        <v>12</v>
      </c>
      <c r="E18" s="4" t="str">
        <f>"0097167450844"</f>
        <v>0097167450844</v>
      </c>
      <c r="F18" s="2" t="s">
        <v>13</v>
      </c>
      <c r="G18" s="2" t="s">
        <v>14</v>
      </c>
      <c r="H18" t="s">
        <v>15</v>
      </c>
      <c r="I18" s="1">
        <v>46086</v>
      </c>
      <c r="J18" t="s">
        <v>59</v>
      </c>
      <c r="K18" t="s">
        <v>60</v>
      </c>
    </row>
    <row r="19" spans="1:11" x14ac:dyDescent="0.25">
      <c r="A19" s="3">
        <v>46086</v>
      </c>
      <c r="B19" s="5" t="s">
        <v>61</v>
      </c>
      <c r="C19" s="5" t="s">
        <v>61</v>
      </c>
      <c r="D19" s="5" t="s">
        <v>12</v>
      </c>
      <c r="E19" s="4" t="str">
        <f>"0097167482871"</f>
        <v>0097167482871</v>
      </c>
      <c r="F19" s="2" t="s">
        <v>13</v>
      </c>
      <c r="G19" s="2" t="s">
        <v>14</v>
      </c>
      <c r="H19" t="s">
        <v>15</v>
      </c>
      <c r="I19" s="1">
        <v>46086</v>
      </c>
      <c r="J19" t="s">
        <v>62</v>
      </c>
      <c r="K19" t="s">
        <v>63</v>
      </c>
    </row>
    <row r="20" spans="1:11" x14ac:dyDescent="0.25">
      <c r="A20" s="3">
        <v>46086</v>
      </c>
      <c r="B20" s="5" t="s">
        <v>64</v>
      </c>
      <c r="C20" s="5" t="s">
        <v>64</v>
      </c>
      <c r="D20" s="5" t="s">
        <v>12</v>
      </c>
      <c r="E20" s="4" t="str">
        <f>"0097167432774"</f>
        <v>0097167432774</v>
      </c>
      <c r="F20" s="2" t="s">
        <v>13</v>
      </c>
      <c r="G20" s="2" t="s">
        <v>14</v>
      </c>
      <c r="H20" t="s">
        <v>15</v>
      </c>
      <c r="I20" s="1">
        <v>46086</v>
      </c>
      <c r="J20" t="s">
        <v>65</v>
      </c>
      <c r="K20" t="s">
        <v>66</v>
      </c>
    </row>
    <row r="21" spans="1:11" x14ac:dyDescent="0.25">
      <c r="A21" s="3">
        <v>46086</v>
      </c>
      <c r="B21" s="5" t="s">
        <v>67</v>
      </c>
      <c r="C21" s="5" t="s">
        <v>67</v>
      </c>
      <c r="D21" s="5" t="s">
        <v>12</v>
      </c>
      <c r="E21" s="4" t="str">
        <f>"0097167427174"</f>
        <v>0097167427174</v>
      </c>
      <c r="F21" s="2" t="s">
        <v>13</v>
      </c>
      <c r="G21" s="2" t="s">
        <v>14</v>
      </c>
      <c r="H21" t="s">
        <v>15</v>
      </c>
      <c r="I21" s="1">
        <v>46086</v>
      </c>
      <c r="J21" t="s">
        <v>68</v>
      </c>
      <c r="K21" t="s">
        <v>69</v>
      </c>
    </row>
    <row r="22" spans="1:11" x14ac:dyDescent="0.25">
      <c r="A22" s="3">
        <v>46086</v>
      </c>
      <c r="B22" s="5" t="s">
        <v>70</v>
      </c>
      <c r="C22" s="5" t="s">
        <v>70</v>
      </c>
      <c r="D22" s="5" t="s">
        <v>12</v>
      </c>
      <c r="E22" s="4" t="str">
        <f>"00971506976719"</f>
        <v>00971506976719</v>
      </c>
      <c r="F22" s="2" t="s">
        <v>13</v>
      </c>
      <c r="G22" s="2" t="s">
        <v>14</v>
      </c>
      <c r="H22" t="s">
        <v>15</v>
      </c>
      <c r="I22" s="1">
        <v>46086</v>
      </c>
      <c r="J22" t="s">
        <v>71</v>
      </c>
      <c r="K22" t="s">
        <v>72</v>
      </c>
    </row>
    <row r="23" spans="1:11" x14ac:dyDescent="0.25">
      <c r="A23" s="3">
        <v>46086</v>
      </c>
      <c r="B23" s="5" t="s">
        <v>73</v>
      </c>
      <c r="C23" s="5" t="s">
        <v>73</v>
      </c>
      <c r="D23" s="5" t="s">
        <v>12</v>
      </c>
      <c r="E23" s="4" t="str">
        <f>"0097167448811"</f>
        <v>0097167448811</v>
      </c>
      <c r="F23" s="2" t="s">
        <v>13</v>
      </c>
      <c r="G23" s="2" t="s">
        <v>14</v>
      </c>
      <c r="H23" t="s">
        <v>15</v>
      </c>
      <c r="I23" s="1">
        <v>46086</v>
      </c>
      <c r="J23" t="s">
        <v>74</v>
      </c>
      <c r="K23" t="s">
        <v>75</v>
      </c>
    </row>
    <row r="24" spans="1:11" x14ac:dyDescent="0.25">
      <c r="A24" s="3">
        <v>46086</v>
      </c>
      <c r="B24" s="5" t="s">
        <v>76</v>
      </c>
      <c r="C24" s="5" t="s">
        <v>76</v>
      </c>
      <c r="D24" s="5" t="s">
        <v>12</v>
      </c>
      <c r="E24" s="4" t="str">
        <f>"00971507169030"</f>
        <v>00971507169030</v>
      </c>
      <c r="F24" s="2" t="s">
        <v>13</v>
      </c>
      <c r="G24" s="2" t="s">
        <v>14</v>
      </c>
      <c r="H24" t="s">
        <v>15</v>
      </c>
      <c r="I24" s="1">
        <v>46086</v>
      </c>
      <c r="J24" t="s">
        <v>77</v>
      </c>
      <c r="K24" t="s">
        <v>78</v>
      </c>
    </row>
    <row r="25" spans="1:11" x14ac:dyDescent="0.25">
      <c r="A25" s="3">
        <v>46086</v>
      </c>
      <c r="B25" s="5" t="s">
        <v>76</v>
      </c>
      <c r="C25" s="5" t="s">
        <v>76</v>
      </c>
      <c r="D25" s="5" t="s">
        <v>12</v>
      </c>
      <c r="E25" s="4" t="str">
        <f>"0097167046551"</f>
        <v>0097167046551</v>
      </c>
      <c r="F25" s="2" t="s">
        <v>13</v>
      </c>
      <c r="G25" s="2" t="s">
        <v>14</v>
      </c>
      <c r="H25" t="s">
        <v>15</v>
      </c>
      <c r="I25" s="1">
        <v>46086</v>
      </c>
      <c r="J25" t="s">
        <v>79</v>
      </c>
      <c r="K25" t="s">
        <v>80</v>
      </c>
    </row>
    <row r="26" spans="1:11" x14ac:dyDescent="0.25">
      <c r="A26" s="3">
        <v>46086</v>
      </c>
      <c r="B26" s="5" t="s">
        <v>81</v>
      </c>
      <c r="C26" s="5" t="s">
        <v>81</v>
      </c>
      <c r="D26" s="5" t="s">
        <v>12</v>
      </c>
      <c r="E26" s="4" t="str">
        <f>"00971525716677"</f>
        <v>00971525716677</v>
      </c>
      <c r="F26" s="2" t="s">
        <v>13</v>
      </c>
      <c r="G26" s="2" t="s">
        <v>14</v>
      </c>
      <c r="H26" t="s">
        <v>15</v>
      </c>
      <c r="I26" s="1">
        <v>46086</v>
      </c>
      <c r="J26" t="s">
        <v>82</v>
      </c>
      <c r="K26" t="s">
        <v>83</v>
      </c>
    </row>
    <row r="27" spans="1:11" x14ac:dyDescent="0.25">
      <c r="A27" s="3">
        <v>46086</v>
      </c>
      <c r="B27" s="5" t="s">
        <v>84</v>
      </c>
      <c r="C27" s="5" t="s">
        <v>84</v>
      </c>
      <c r="D27" s="5" t="s">
        <v>12</v>
      </c>
      <c r="E27" s="4" t="str">
        <f>"00971526565760"</f>
        <v>00971526565760</v>
      </c>
      <c r="F27" s="2" t="s">
        <v>13</v>
      </c>
      <c r="G27" s="2" t="s">
        <v>14</v>
      </c>
      <c r="H27" t="s">
        <v>15</v>
      </c>
      <c r="I27" s="1">
        <v>46086</v>
      </c>
      <c r="J27" t="s">
        <v>85</v>
      </c>
      <c r="K27" t="s">
        <v>86</v>
      </c>
    </row>
    <row r="28" spans="1:11" x14ac:dyDescent="0.25">
      <c r="A28" s="3">
        <v>46086</v>
      </c>
      <c r="B28" s="5" t="s">
        <v>87</v>
      </c>
      <c r="C28" s="5" t="s">
        <v>87</v>
      </c>
      <c r="D28" s="5" t="s">
        <v>12</v>
      </c>
      <c r="E28" s="4" t="str">
        <f>"0097167475599"</f>
        <v>0097167475599</v>
      </c>
      <c r="F28" s="2" t="s">
        <v>13</v>
      </c>
      <c r="G28" s="2" t="s">
        <v>14</v>
      </c>
      <c r="H28" t="s">
        <v>15</v>
      </c>
      <c r="I28" s="1">
        <v>46086</v>
      </c>
      <c r="J28" t="s">
        <v>88</v>
      </c>
      <c r="K28" t="s">
        <v>89</v>
      </c>
    </row>
    <row r="29" spans="1:11" x14ac:dyDescent="0.25">
      <c r="A29" s="3">
        <v>46086</v>
      </c>
      <c r="B29" s="5" t="s">
        <v>90</v>
      </c>
      <c r="C29" s="5" t="s">
        <v>90</v>
      </c>
      <c r="D29" s="5" t="s">
        <v>12</v>
      </c>
      <c r="E29" s="4" t="str">
        <f>"00971551435222"</f>
        <v>00971551435222</v>
      </c>
      <c r="F29" s="2" t="s">
        <v>13</v>
      </c>
      <c r="G29" s="2" t="s">
        <v>14</v>
      </c>
      <c r="H29" t="s">
        <v>15</v>
      </c>
      <c r="I29" s="1">
        <v>46086</v>
      </c>
      <c r="J29" t="s">
        <v>91</v>
      </c>
      <c r="K29" t="s">
        <v>92</v>
      </c>
    </row>
    <row r="30" spans="1:11" x14ac:dyDescent="0.25">
      <c r="A30" s="3">
        <v>46086</v>
      </c>
      <c r="B30" s="5" t="s">
        <v>93</v>
      </c>
      <c r="C30" s="5" t="s">
        <v>93</v>
      </c>
      <c r="D30" s="5" t="s">
        <v>12</v>
      </c>
      <c r="E30" s="4" t="str">
        <f>"00971555674952"</f>
        <v>00971555674952</v>
      </c>
      <c r="F30" s="2" t="s">
        <v>13</v>
      </c>
      <c r="G30" s="2" t="s">
        <v>14</v>
      </c>
      <c r="H30" t="s">
        <v>15</v>
      </c>
      <c r="I30" s="1">
        <v>46086</v>
      </c>
      <c r="J30" t="s">
        <v>94</v>
      </c>
      <c r="K30" t="s">
        <v>95</v>
      </c>
    </row>
    <row r="31" spans="1:11" x14ac:dyDescent="0.25">
      <c r="A31" s="3">
        <v>46086</v>
      </c>
      <c r="B31" s="5" t="s">
        <v>96</v>
      </c>
      <c r="C31" s="5" t="s">
        <v>96</v>
      </c>
      <c r="D31" s="5" t="s">
        <v>12</v>
      </c>
      <c r="E31" s="4" t="str">
        <f>"0097167465332"</f>
        <v>0097167465332</v>
      </c>
      <c r="F31" s="2" t="s">
        <v>13</v>
      </c>
      <c r="G31" s="2" t="s">
        <v>14</v>
      </c>
      <c r="H31" t="s">
        <v>15</v>
      </c>
      <c r="I31" s="1">
        <v>46086</v>
      </c>
      <c r="J31" t="s">
        <v>97</v>
      </c>
      <c r="K31" t="s">
        <v>98</v>
      </c>
    </row>
    <row r="32" spans="1:11" x14ac:dyDescent="0.25">
      <c r="A32" s="3">
        <v>46086</v>
      </c>
      <c r="B32" s="5" t="s">
        <v>99</v>
      </c>
      <c r="C32" s="5" t="s">
        <v>99</v>
      </c>
      <c r="D32" s="5" t="s">
        <v>12</v>
      </c>
      <c r="E32" s="4" t="str">
        <f>"00971552822655"</f>
        <v>00971552822655</v>
      </c>
      <c r="F32" s="2" t="s">
        <v>13</v>
      </c>
      <c r="G32" s="2" t="s">
        <v>14</v>
      </c>
      <c r="H32" t="s">
        <v>15</v>
      </c>
      <c r="I32" s="1">
        <v>46086</v>
      </c>
      <c r="J32" t="s">
        <v>100</v>
      </c>
      <c r="K32" t="s">
        <v>101</v>
      </c>
    </row>
    <row r="33" spans="1:11" x14ac:dyDescent="0.25">
      <c r="A33" s="3">
        <v>46086</v>
      </c>
      <c r="B33" s="5" t="s">
        <v>99</v>
      </c>
      <c r="C33" s="5" t="s">
        <v>99</v>
      </c>
      <c r="D33" s="5" t="s">
        <v>12</v>
      </c>
      <c r="E33" s="4" t="str">
        <f>"0097167417171"</f>
        <v>0097167417171</v>
      </c>
      <c r="F33" s="2" t="s">
        <v>13</v>
      </c>
      <c r="G33" s="2" t="s">
        <v>14</v>
      </c>
      <c r="H33" t="s">
        <v>15</v>
      </c>
      <c r="I33" s="1">
        <v>46086</v>
      </c>
      <c r="J33" t="s">
        <v>102</v>
      </c>
      <c r="K33" t="s">
        <v>103</v>
      </c>
    </row>
    <row r="34" spans="1:11" x14ac:dyDescent="0.25">
      <c r="A34" s="3">
        <v>46086</v>
      </c>
      <c r="B34" s="5" t="s">
        <v>104</v>
      </c>
      <c r="C34" s="5" t="s">
        <v>104</v>
      </c>
      <c r="D34" s="5" t="s">
        <v>12</v>
      </c>
      <c r="E34" s="4" t="str">
        <f>"0097167432446"</f>
        <v>0097167432446</v>
      </c>
      <c r="F34" s="2" t="s">
        <v>13</v>
      </c>
      <c r="G34" s="2" t="s">
        <v>14</v>
      </c>
      <c r="H34" t="s">
        <v>15</v>
      </c>
      <c r="I34" s="1">
        <v>46086</v>
      </c>
      <c r="J34" t="s">
        <v>105</v>
      </c>
      <c r="K34" t="s">
        <v>106</v>
      </c>
    </row>
    <row r="35" spans="1:11" x14ac:dyDescent="0.25">
      <c r="A35" s="3">
        <v>46086</v>
      </c>
      <c r="B35" s="5" t="s">
        <v>107</v>
      </c>
      <c r="C35" s="5" t="s">
        <v>107</v>
      </c>
      <c r="D35" s="5" t="s">
        <v>12</v>
      </c>
      <c r="E35" s="4" t="str">
        <f>"0097167441454"</f>
        <v>0097167441454</v>
      </c>
      <c r="F35" s="2" t="s">
        <v>13</v>
      </c>
      <c r="G35" s="2" t="s">
        <v>14</v>
      </c>
      <c r="H35" t="s">
        <v>15</v>
      </c>
      <c r="I35" s="1">
        <v>46086</v>
      </c>
      <c r="J35" t="s">
        <v>108</v>
      </c>
      <c r="K35" t="s">
        <v>109</v>
      </c>
    </row>
    <row r="36" spans="1:11" x14ac:dyDescent="0.25">
      <c r="A36" s="3">
        <v>46086</v>
      </c>
      <c r="B36" s="5" t="s">
        <v>110</v>
      </c>
      <c r="C36" s="5" t="s">
        <v>110</v>
      </c>
      <c r="D36" s="5" t="s">
        <v>12</v>
      </c>
      <c r="E36" s="4" t="str">
        <f>"00971526904716"</f>
        <v>00971526904716</v>
      </c>
      <c r="F36" s="2" t="s">
        <v>13</v>
      </c>
      <c r="G36" s="2" t="s">
        <v>14</v>
      </c>
      <c r="H36" t="s">
        <v>15</v>
      </c>
      <c r="I36" s="1">
        <v>46086</v>
      </c>
      <c r="J36" t="s">
        <v>111</v>
      </c>
      <c r="K36" t="s">
        <v>112</v>
      </c>
    </row>
    <row r="37" spans="1:11" x14ac:dyDescent="0.25">
      <c r="A37" s="3">
        <v>46086</v>
      </c>
      <c r="B37" s="5" t="s">
        <v>110</v>
      </c>
      <c r="C37" s="5" t="s">
        <v>110</v>
      </c>
      <c r="D37" s="5" t="s">
        <v>12</v>
      </c>
      <c r="E37" s="4" t="str">
        <f>"0097167486828"</f>
        <v>0097167486828</v>
      </c>
      <c r="F37" s="2" t="s">
        <v>13</v>
      </c>
      <c r="G37" s="2" t="s">
        <v>14</v>
      </c>
      <c r="H37" t="s">
        <v>15</v>
      </c>
      <c r="I37" s="1">
        <v>46086</v>
      </c>
      <c r="J37" t="s">
        <v>113</v>
      </c>
      <c r="K37" t="s">
        <v>114</v>
      </c>
    </row>
    <row r="38" spans="1:11" x14ac:dyDescent="0.25">
      <c r="A38" s="3">
        <v>46086</v>
      </c>
      <c r="B38" s="5" t="s">
        <v>115</v>
      </c>
      <c r="C38" s="5" t="s">
        <v>115</v>
      </c>
      <c r="D38" s="5" t="s">
        <v>12</v>
      </c>
      <c r="E38" s="4" t="str">
        <f>"00971523803022"</f>
        <v>00971523803022</v>
      </c>
      <c r="F38" s="2" t="s">
        <v>13</v>
      </c>
      <c r="G38" s="2" t="s">
        <v>14</v>
      </c>
      <c r="H38" t="s">
        <v>15</v>
      </c>
      <c r="I38" s="1">
        <v>46086</v>
      </c>
      <c r="J38" t="s">
        <v>116</v>
      </c>
      <c r="K38" t="s">
        <v>117</v>
      </c>
    </row>
    <row r="39" spans="1:11" x14ac:dyDescent="0.25">
      <c r="A39" s="3">
        <v>46086</v>
      </c>
      <c r="B39" s="5" t="s">
        <v>115</v>
      </c>
      <c r="C39" s="5" t="s">
        <v>115</v>
      </c>
      <c r="D39" s="5" t="s">
        <v>12</v>
      </c>
      <c r="E39" s="4" t="str">
        <f>"0097167155790"</f>
        <v>0097167155790</v>
      </c>
      <c r="F39" s="2" t="s">
        <v>13</v>
      </c>
      <c r="G39" s="2" t="s">
        <v>14</v>
      </c>
      <c r="H39" t="s">
        <v>15</v>
      </c>
      <c r="I39" s="1">
        <v>46086</v>
      </c>
      <c r="J39" t="s">
        <v>118</v>
      </c>
      <c r="K39" t="s">
        <v>119</v>
      </c>
    </row>
    <row r="40" spans="1:11" x14ac:dyDescent="0.25">
      <c r="A40" s="3">
        <v>46086</v>
      </c>
      <c r="B40" s="5" t="s">
        <v>120</v>
      </c>
      <c r="C40" s="5" t="s">
        <v>120</v>
      </c>
      <c r="D40" s="5" t="s">
        <v>12</v>
      </c>
      <c r="E40" s="4" t="str">
        <f>"00971503065100"</f>
        <v>00971503065100</v>
      </c>
      <c r="F40" s="2" t="s">
        <v>13</v>
      </c>
      <c r="G40" s="2" t="s">
        <v>14</v>
      </c>
      <c r="H40" t="s">
        <v>15</v>
      </c>
      <c r="I40" s="1">
        <v>46086</v>
      </c>
      <c r="J40" t="s">
        <v>121</v>
      </c>
      <c r="K40" t="s">
        <v>122</v>
      </c>
    </row>
    <row r="41" spans="1:11" x14ac:dyDescent="0.25">
      <c r="A41" s="3">
        <v>46086</v>
      </c>
      <c r="B41" s="5" t="s">
        <v>120</v>
      </c>
      <c r="C41" s="5" t="s">
        <v>120</v>
      </c>
      <c r="D41" s="5" t="s">
        <v>12</v>
      </c>
      <c r="E41" s="4" t="str">
        <f>"0097165357867"</f>
        <v>0097165357867</v>
      </c>
      <c r="F41" s="2" t="s">
        <v>13</v>
      </c>
      <c r="G41" s="2" t="s">
        <v>14</v>
      </c>
      <c r="H41" t="s">
        <v>15</v>
      </c>
      <c r="I41" s="1">
        <v>46086</v>
      </c>
      <c r="J41" t="s">
        <v>123</v>
      </c>
      <c r="K41" t="s">
        <v>124</v>
      </c>
    </row>
    <row r="42" spans="1:11" x14ac:dyDescent="0.25">
      <c r="A42" s="3">
        <v>46086</v>
      </c>
      <c r="B42" s="5" t="s">
        <v>125</v>
      </c>
      <c r="C42" s="5" t="s">
        <v>125</v>
      </c>
      <c r="D42" s="5" t="s">
        <v>12</v>
      </c>
      <c r="E42" s="4" t="str">
        <f>"0097167438606"</f>
        <v>0097167438606</v>
      </c>
      <c r="F42" s="2" t="s">
        <v>13</v>
      </c>
      <c r="G42" s="2" t="s">
        <v>14</v>
      </c>
      <c r="H42" t="s">
        <v>15</v>
      </c>
      <c r="I42" s="1">
        <v>46086</v>
      </c>
      <c r="J42" t="s">
        <v>126</v>
      </c>
      <c r="K42" t="s">
        <v>127</v>
      </c>
    </row>
    <row r="43" spans="1:11" x14ac:dyDescent="0.25">
      <c r="A43" s="3">
        <v>46086</v>
      </c>
      <c r="B43" s="5" t="s">
        <v>128</v>
      </c>
      <c r="C43" s="5" t="s">
        <v>128</v>
      </c>
      <c r="D43" s="5" t="s">
        <v>12</v>
      </c>
      <c r="E43" s="4" t="str">
        <f>"0097167466015"</f>
        <v>0097167466015</v>
      </c>
      <c r="F43" s="2" t="s">
        <v>13</v>
      </c>
      <c r="G43" s="2" t="s">
        <v>14</v>
      </c>
      <c r="H43" t="s">
        <v>15</v>
      </c>
      <c r="I43" s="1">
        <v>46086</v>
      </c>
      <c r="J43" t="s">
        <v>129</v>
      </c>
      <c r="K43" t="s">
        <v>130</v>
      </c>
    </row>
    <row r="44" spans="1:11" x14ac:dyDescent="0.25">
      <c r="A44" s="3">
        <v>46086</v>
      </c>
      <c r="B44" s="5" t="s">
        <v>131</v>
      </c>
      <c r="C44" s="5" t="s">
        <v>131</v>
      </c>
      <c r="D44" s="5" t="s">
        <v>12</v>
      </c>
      <c r="E44" s="4" t="str">
        <f>"0097168827869"</f>
        <v>0097168827869</v>
      </c>
      <c r="F44" s="2" t="s">
        <v>13</v>
      </c>
      <c r="G44" s="2" t="s">
        <v>14</v>
      </c>
      <c r="H44" t="s">
        <v>15</v>
      </c>
      <c r="I44" s="1">
        <v>46086</v>
      </c>
      <c r="J44" t="s">
        <v>132</v>
      </c>
      <c r="K44" t="s">
        <v>133</v>
      </c>
    </row>
    <row r="45" spans="1:11" x14ac:dyDescent="0.25">
      <c r="A45" s="3">
        <v>46086</v>
      </c>
      <c r="B45" s="5" t="s">
        <v>134</v>
      </c>
      <c r="C45" s="5" t="s">
        <v>134</v>
      </c>
      <c r="D45" s="5" t="s">
        <v>12</v>
      </c>
      <c r="E45" s="4" t="str">
        <f>"0097167422558"</f>
        <v>0097167422558</v>
      </c>
      <c r="F45" s="2" t="s">
        <v>13</v>
      </c>
      <c r="G45" s="2" t="s">
        <v>14</v>
      </c>
      <c r="H45" t="s">
        <v>15</v>
      </c>
      <c r="I45" s="1">
        <v>46086</v>
      </c>
      <c r="J45" t="s">
        <v>135</v>
      </c>
      <c r="K45" t="s">
        <v>136</v>
      </c>
    </row>
    <row r="46" spans="1:11" x14ac:dyDescent="0.25">
      <c r="A46" s="3">
        <v>46086</v>
      </c>
      <c r="B46" s="5" t="s">
        <v>137</v>
      </c>
      <c r="C46" s="5" t="s">
        <v>137</v>
      </c>
      <c r="D46" s="5" t="s">
        <v>12</v>
      </c>
      <c r="E46" s="4" t="str">
        <f>"00971543358211"</f>
        <v>00971543358211</v>
      </c>
      <c r="F46" s="2" t="s">
        <v>13</v>
      </c>
      <c r="G46" s="2" t="s">
        <v>14</v>
      </c>
      <c r="H46" t="s">
        <v>15</v>
      </c>
      <c r="I46" s="1">
        <v>46086</v>
      </c>
      <c r="J46" t="s">
        <v>138</v>
      </c>
      <c r="K46" t="s">
        <v>139</v>
      </c>
    </row>
    <row r="47" spans="1:11" x14ac:dyDescent="0.25">
      <c r="A47" s="3">
        <v>46086</v>
      </c>
      <c r="B47" s="5" t="s">
        <v>137</v>
      </c>
      <c r="C47" s="5" t="s">
        <v>137</v>
      </c>
      <c r="D47" s="5" t="s">
        <v>12</v>
      </c>
      <c r="E47" s="4" t="str">
        <f>"0097167310722"</f>
        <v>0097167310722</v>
      </c>
      <c r="F47" s="2" t="s">
        <v>13</v>
      </c>
      <c r="G47" s="2" t="s">
        <v>14</v>
      </c>
      <c r="H47" t="s">
        <v>15</v>
      </c>
      <c r="I47" s="1">
        <v>46086</v>
      </c>
      <c r="J47" t="s">
        <v>140</v>
      </c>
      <c r="K47" t="s">
        <v>141</v>
      </c>
    </row>
    <row r="48" spans="1:11" x14ac:dyDescent="0.25">
      <c r="A48" s="3">
        <v>46086</v>
      </c>
      <c r="B48" s="5" t="s">
        <v>142</v>
      </c>
      <c r="C48" s="5" t="s">
        <v>142</v>
      </c>
      <c r="D48" s="5" t="s">
        <v>12</v>
      </c>
      <c r="E48" s="4" t="str">
        <f>"0097167432699"</f>
        <v>0097167432699</v>
      </c>
      <c r="F48" s="2" t="s">
        <v>13</v>
      </c>
      <c r="G48" s="2" t="s">
        <v>14</v>
      </c>
      <c r="H48" t="s">
        <v>15</v>
      </c>
      <c r="I48" s="1">
        <v>46086</v>
      </c>
      <c r="J48" t="s">
        <v>143</v>
      </c>
      <c r="K48" t="s">
        <v>144</v>
      </c>
    </row>
    <row r="49" spans="1:11" x14ac:dyDescent="0.25">
      <c r="A49" s="3">
        <v>46086</v>
      </c>
      <c r="B49" s="5" t="s">
        <v>145</v>
      </c>
      <c r="C49" s="5" t="s">
        <v>145</v>
      </c>
      <c r="D49" s="5" t="s">
        <v>12</v>
      </c>
      <c r="E49" s="4" t="str">
        <f>"00971554914907"</f>
        <v>00971554914907</v>
      </c>
      <c r="F49" s="2" t="s">
        <v>13</v>
      </c>
      <c r="G49" s="2" t="s">
        <v>14</v>
      </c>
      <c r="H49" t="s">
        <v>15</v>
      </c>
      <c r="I49" s="1">
        <v>46086</v>
      </c>
      <c r="J49" t="s">
        <v>146</v>
      </c>
      <c r="K49" t="s">
        <v>147</v>
      </c>
    </row>
    <row r="50" spans="1:11" x14ac:dyDescent="0.25">
      <c r="A50" s="3">
        <v>46086</v>
      </c>
      <c r="B50" s="5" t="s">
        <v>145</v>
      </c>
      <c r="C50" s="5" t="s">
        <v>145</v>
      </c>
      <c r="D50" s="5" t="s">
        <v>12</v>
      </c>
      <c r="E50" s="4" t="str">
        <f>"00971559229505"</f>
        <v>00971559229505</v>
      </c>
      <c r="F50" s="2" t="s">
        <v>13</v>
      </c>
      <c r="G50" s="2" t="s">
        <v>14</v>
      </c>
      <c r="H50" t="s">
        <v>15</v>
      </c>
      <c r="I50" s="1">
        <v>46086</v>
      </c>
      <c r="J50" t="s">
        <v>146</v>
      </c>
      <c r="K50" t="s">
        <v>148</v>
      </c>
    </row>
    <row r="51" spans="1:11" x14ac:dyDescent="0.25">
      <c r="A51" s="3">
        <v>46086</v>
      </c>
      <c r="B51" s="5" t="s">
        <v>149</v>
      </c>
      <c r="C51" s="5" t="s">
        <v>149</v>
      </c>
      <c r="D51" s="5" t="s">
        <v>12</v>
      </c>
      <c r="E51" s="4" t="str">
        <f>"00971559615858"</f>
        <v>00971559615858</v>
      </c>
      <c r="F51" s="2" t="s">
        <v>13</v>
      </c>
      <c r="G51" s="2" t="s">
        <v>14</v>
      </c>
      <c r="H51" t="s">
        <v>15</v>
      </c>
      <c r="I51" s="1">
        <v>46086</v>
      </c>
      <c r="J51" t="s">
        <v>150</v>
      </c>
      <c r="K51" t="s">
        <v>151</v>
      </c>
    </row>
    <row r="52" spans="1:11" x14ac:dyDescent="0.25">
      <c r="A52" s="3">
        <v>46086</v>
      </c>
      <c r="B52" s="5" t="s">
        <v>149</v>
      </c>
      <c r="C52" s="5" t="s">
        <v>149</v>
      </c>
      <c r="D52" s="5" t="s">
        <v>12</v>
      </c>
      <c r="E52" s="4" t="str">
        <f>"0097167430277"</f>
        <v>0097167430277</v>
      </c>
      <c r="F52" s="2" t="s">
        <v>13</v>
      </c>
      <c r="G52" s="2" t="s">
        <v>14</v>
      </c>
      <c r="H52" t="s">
        <v>15</v>
      </c>
      <c r="I52" s="1">
        <v>46086</v>
      </c>
      <c r="J52" t="s">
        <v>152</v>
      </c>
      <c r="K52" t="s">
        <v>153</v>
      </c>
    </row>
    <row r="53" spans="1:11" x14ac:dyDescent="0.25">
      <c r="A53" s="3">
        <v>46086</v>
      </c>
      <c r="B53" s="5" t="s">
        <v>154</v>
      </c>
      <c r="C53" s="5" t="s">
        <v>154</v>
      </c>
      <c r="D53" s="5" t="s">
        <v>12</v>
      </c>
      <c r="E53" s="4" t="str">
        <f>"00971562905954"</f>
        <v>00971562905954</v>
      </c>
      <c r="F53" s="2" t="s">
        <v>13</v>
      </c>
      <c r="G53" s="2" t="s">
        <v>14</v>
      </c>
      <c r="H53" t="s">
        <v>15</v>
      </c>
      <c r="I53" s="1">
        <v>46086</v>
      </c>
      <c r="J53" t="s">
        <v>155</v>
      </c>
      <c r="K53" t="s">
        <v>156</v>
      </c>
    </row>
    <row r="54" spans="1:11" x14ac:dyDescent="0.25">
      <c r="A54" s="3">
        <v>46086</v>
      </c>
      <c r="B54" s="5" t="s">
        <v>154</v>
      </c>
      <c r="C54" s="5" t="s">
        <v>154</v>
      </c>
      <c r="D54" s="5" t="s">
        <v>12</v>
      </c>
      <c r="E54" s="4" t="str">
        <f>"0097165527513"</f>
        <v>0097165527513</v>
      </c>
      <c r="F54" s="2" t="s">
        <v>13</v>
      </c>
      <c r="G54" s="2" t="s">
        <v>14</v>
      </c>
      <c r="H54" t="s">
        <v>15</v>
      </c>
      <c r="I54" s="1">
        <v>46086</v>
      </c>
      <c r="J54" t="s">
        <v>157</v>
      </c>
      <c r="K54" t="s">
        <v>158</v>
      </c>
    </row>
    <row r="55" spans="1:11" x14ac:dyDescent="0.25">
      <c r="A55" s="3">
        <v>46086</v>
      </c>
      <c r="B55" s="5" t="s">
        <v>159</v>
      </c>
      <c r="C55" s="5" t="s">
        <v>159</v>
      </c>
      <c r="D55" s="5" t="s">
        <v>12</v>
      </c>
      <c r="E55" s="4" t="str">
        <f>"0097167441466"</f>
        <v>0097167441466</v>
      </c>
      <c r="F55" s="2" t="s">
        <v>13</v>
      </c>
      <c r="G55" s="2" t="s">
        <v>14</v>
      </c>
      <c r="H55" t="s">
        <v>15</v>
      </c>
      <c r="I55" s="1">
        <v>46086</v>
      </c>
      <c r="J55" t="s">
        <v>160</v>
      </c>
      <c r="K55" t="s">
        <v>161</v>
      </c>
    </row>
    <row r="56" spans="1:11" x14ac:dyDescent="0.25">
      <c r="A56" s="3">
        <v>46086</v>
      </c>
      <c r="B56" s="5" t="s">
        <v>162</v>
      </c>
      <c r="C56" s="5" t="s">
        <v>162</v>
      </c>
      <c r="D56" s="5" t="s">
        <v>12</v>
      </c>
      <c r="E56" s="4" t="str">
        <f>"0097167422404"</f>
        <v>0097167422404</v>
      </c>
      <c r="F56" s="2" t="s">
        <v>13</v>
      </c>
      <c r="G56" s="2" t="s">
        <v>14</v>
      </c>
      <c r="H56" t="s">
        <v>15</v>
      </c>
      <c r="I56" s="1">
        <v>46086</v>
      </c>
      <c r="J56" t="s">
        <v>163</v>
      </c>
      <c r="K56" t="s">
        <v>164</v>
      </c>
    </row>
    <row r="57" spans="1:11" x14ac:dyDescent="0.25">
      <c r="A57" s="3">
        <v>46086</v>
      </c>
      <c r="B57" s="5" t="s">
        <v>165</v>
      </c>
      <c r="C57" s="5" t="s">
        <v>165</v>
      </c>
      <c r="D57" s="5" t="s">
        <v>12</v>
      </c>
      <c r="E57" s="4" t="str">
        <f>"0097167444109"</f>
        <v>0097167444109</v>
      </c>
      <c r="F57" s="2" t="s">
        <v>13</v>
      </c>
      <c r="G57" s="2" t="s">
        <v>14</v>
      </c>
      <c r="H57" t="s">
        <v>15</v>
      </c>
      <c r="I57" s="1">
        <v>46086</v>
      </c>
      <c r="J57" t="s">
        <v>166</v>
      </c>
      <c r="K57" t="s">
        <v>167</v>
      </c>
    </row>
    <row r="58" spans="1:11" x14ac:dyDescent="0.25">
      <c r="A58" s="3">
        <v>46086</v>
      </c>
      <c r="B58" s="5" t="s">
        <v>168</v>
      </c>
      <c r="C58" s="5" t="s">
        <v>168</v>
      </c>
      <c r="D58" s="5" t="s">
        <v>12</v>
      </c>
      <c r="E58" s="4" t="str">
        <f>"0097167480078"</f>
        <v>0097167480078</v>
      </c>
      <c r="F58" s="2" t="s">
        <v>13</v>
      </c>
      <c r="G58" s="2" t="s">
        <v>14</v>
      </c>
      <c r="H58" t="s">
        <v>15</v>
      </c>
      <c r="I58" s="1">
        <v>46086</v>
      </c>
      <c r="J58" t="s">
        <v>169</v>
      </c>
      <c r="K58" t="s">
        <v>170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TEMP_LEADS_Ajman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Network Master</cp:lastModifiedBy>
  <dcterms:created xsi:type="dcterms:W3CDTF">2026-03-05T23:23:46Z</dcterms:created>
  <dcterms:modified xsi:type="dcterms:W3CDTF">2026-03-05T23:23:46Z</dcterms:modified>
</cp:coreProperties>
</file>