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6b7891681c32f5/Desktop/client lead/organized/"/>
    </mc:Choice>
  </mc:AlternateContent>
  <xr:revisionPtr revIDLastSave="0" documentId="8_{AAAC30DB-C75E-45B8-AF04-E1CFD3C21494}" xr6:coauthVersionLast="47" xr6:coauthVersionMax="47" xr10:uidLastSave="{00000000-0000-0000-0000-000000000000}"/>
  <bookViews>
    <workbookView xWindow="-108" yWindow="-108" windowWidth="23256" windowHeight="12456" xr2:uid="{EABC9C6C-47F3-4452-AB0D-9F7E0771BB30}"/>
  </bookViews>
  <sheets>
    <sheet name="TEMP_LEADS_Fujaira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</calcChain>
</file>

<file path=xl/sharedStrings.xml><?xml version="1.0" encoding="utf-8"?>
<sst xmlns="http://schemas.openxmlformats.org/spreadsheetml/2006/main" count="75" uniqueCount="38">
  <si>
    <t>date</t>
  </si>
  <si>
    <t>lead_name</t>
  </si>
  <si>
    <t>business</t>
  </si>
  <si>
    <t>area</t>
  </si>
  <si>
    <t>phone_or_link</t>
  </si>
  <si>
    <t>channel</t>
  </si>
  <si>
    <t>status</t>
  </si>
  <si>
    <t>next_action</t>
  </si>
  <si>
    <t>next_date</t>
  </si>
  <si>
    <t>notes</t>
  </si>
  <si>
    <t>lead_id</t>
  </si>
  <si>
    <t>5 Stars Beauty Saloon</t>
  </si>
  <si>
    <t>Fujairah</t>
  </si>
  <si>
    <t>WhatsApp</t>
  </si>
  <si>
    <t>NEW</t>
  </si>
  <si>
    <t>Review and send compliant outreach</t>
  </si>
  <si>
    <t>YellowPages UAE profile | landline_or_tollfree | https://www.yellowpages-uae.com/5-stars-beauty-salon-169993</t>
  </si>
  <si>
    <t>UAE0826</t>
  </si>
  <si>
    <t>A K General Construction</t>
  </si>
  <si>
    <t>YellowPages UAE profile | landline_or_tollfree | https://www.yellowpages-uae.com/a-k-general-construction-124955</t>
  </si>
  <si>
    <t>UAE0827</t>
  </si>
  <si>
    <t>A S Majed Grocery</t>
  </si>
  <si>
    <t>YellowPages UAE profile | landline_or_tollfree | https://www.yellowpages-uae.com/a-s-majed-grocery-166213</t>
  </si>
  <si>
    <t>UAE0828</t>
  </si>
  <si>
    <t>A2Y Construction and Electromechanical</t>
  </si>
  <si>
    <t>YellowPages UAE profile | mobile | https://www.yellowpages-uae.com/a2y-construction-and-electromechanical-176192</t>
  </si>
  <si>
    <t>UAE0829</t>
  </si>
  <si>
    <t>YellowPages UAE profile | landline_or_tollfree | https://www.yellowpages-uae.com/a2y-construction-and-electromechanical-176192</t>
  </si>
  <si>
    <t>UAE0830</t>
  </si>
  <si>
    <t>Aamer Saloon</t>
  </si>
  <si>
    <t>YellowPages UAE profile | landline_or_tollfree | https://www.yellowpages-uae.com/aamer-saloon-122722</t>
  </si>
  <si>
    <t>UAE0831</t>
  </si>
  <si>
    <t>Abdul Aziz Bin Abdullatif Al Serkal Establishment</t>
  </si>
  <si>
    <t>YellowPages UAE profile | landline_or_tollfree | https://www.yellowpages-uae.com/abdul-aziz-bin-abdullatif-al-serkal-establishment-106000</t>
  </si>
  <si>
    <t>UAE0832</t>
  </si>
  <si>
    <t>Abdul Rahman Bakery</t>
  </si>
  <si>
    <t>YellowPages UAE profile | landline_or_tollfree | https://www.yellowpages-uae.com/abdul-rahman-bakery-121144</t>
  </si>
  <si>
    <t>UAE0833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</si>
</sst>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alignment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36F2BB-72FB-496E-B121-30E22FEFD68B}" name="T_ZabayenFujairahVIP" displayName="T_ZabayenFujairahVIP" ref="A1:K9" totalsRowShown="0" headerRowDxfId="0">
  <autoFilter ref="A1:K9" xr:uid="{4236F2BB-72FB-496E-B121-30E22FEFD68B}"/>
  <tableColumns count="11">
    <tableColumn id="1" xr3:uid="{1E5D07FA-45AD-45DC-A324-3C7FDDBA75AF}" name="date" dataDxfId="5"/>
    <tableColumn id="2" xr3:uid="{223BC395-F30D-4CEC-91FC-DDCEECADD0F7}" name="lead_name" dataDxfId="4"/>
    <tableColumn id="3" xr3:uid="{9D1F25F4-DD2F-45D9-93E9-E8095A364A65}" name="business" dataDxfId="3"/>
    <tableColumn id="4" xr3:uid="{BBC07A77-F403-4C4B-811C-D74785F86D76}" name="area" dataDxfId="1"/>
    <tableColumn id="5" xr3:uid="{7B4744D9-FC5E-4ABB-929A-7EC6E7EBB11D}" name="phone_or_link" dataDxfId="2"/>
    <tableColumn id="6" xr3:uid="{B56B79B8-A489-4233-8472-6D9F785563E3}" name="channel" dataDxfId="7"/>
    <tableColumn id="7" xr3:uid="{ECE39B1B-C8A1-4714-A2B6-1D837338D046}" name="status" dataDxfId="6"/>
    <tableColumn id="8" xr3:uid="{889D1922-C337-4BF8-9A04-2F48A0BB0BCB}" name="next_action"/>
    <tableColumn id="9" xr3:uid="{18618265-0D4F-4C30-B84D-4F2B654DFBBE}" name="next_date" dataDxfId="8"/>
    <tableColumn id="10" xr3:uid="{520CAA63-4E44-41A8-B96E-0FE1CD57DC1F}" name="notes"/>
    <tableColumn id="11" xr3:uid="{87911F7D-1069-403B-92D6-541344FCEEE4}" name="lead_id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F1E5E-62BC-4678-8B8F-E3CBC54DA626}">
  <dimension ref="A1:K9"/>
  <sheetViews>
    <sheetView tabSelected="1" workbookViewId="0"/>
  </sheetViews>
  <sheetFormatPr defaultRowHeight="13.8" x14ac:dyDescent="0.25"/>
  <cols>
    <col min="1" max="1" width="10.09765625" style="2" bestFit="1" customWidth="1"/>
    <col min="2" max="3" width="39.8984375" style="5" bestFit="1" customWidth="1"/>
    <col min="4" max="4" width="7.3984375" style="5" bestFit="1" customWidth="1"/>
    <col min="5" max="5" width="17.3984375" style="2" bestFit="1" customWidth="1"/>
    <col min="6" max="6" width="11.796875" style="2" bestFit="1" customWidth="1"/>
    <col min="7" max="7" width="10.19921875" style="2" bestFit="1" customWidth="1"/>
    <col min="8" max="8" width="30.796875" bestFit="1" customWidth="1"/>
    <col min="9" max="9" width="11.59765625" bestFit="1" customWidth="1"/>
    <col min="10" max="10" width="113.69921875" bestFit="1" customWidth="1"/>
    <col min="11" max="11" width="9.19921875" bestFit="1" customWidth="1"/>
  </cols>
  <sheetData>
    <row r="1" spans="1:11" s="8" customFormat="1" ht="25.05" customHeight="1" x14ac:dyDescent="0.25">
      <c r="A1" s="6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spans="1:11" x14ac:dyDescent="0.25">
      <c r="A2" s="3">
        <v>46086</v>
      </c>
      <c r="B2" s="5" t="s">
        <v>11</v>
      </c>
      <c r="C2" s="5" t="s">
        <v>11</v>
      </c>
      <c r="D2" s="5" t="s">
        <v>12</v>
      </c>
      <c r="E2" s="4" t="str">
        <f>"0097192244324"</f>
        <v>0097192244324</v>
      </c>
      <c r="F2" s="2" t="s">
        <v>13</v>
      </c>
      <c r="G2" s="2" t="s">
        <v>14</v>
      </c>
      <c r="H2" t="s">
        <v>15</v>
      </c>
      <c r="I2" s="1">
        <v>46086</v>
      </c>
      <c r="J2" t="s">
        <v>16</v>
      </c>
      <c r="K2" t="s">
        <v>17</v>
      </c>
    </row>
    <row r="3" spans="1:11" x14ac:dyDescent="0.25">
      <c r="A3" s="3">
        <v>46086</v>
      </c>
      <c r="B3" s="5" t="s">
        <v>18</v>
      </c>
      <c r="C3" s="5" t="s">
        <v>18</v>
      </c>
      <c r="D3" s="5" t="s">
        <v>12</v>
      </c>
      <c r="E3" s="4" t="str">
        <f>"0097192440348"</f>
        <v>0097192440348</v>
      </c>
      <c r="F3" s="2" t="s">
        <v>13</v>
      </c>
      <c r="G3" s="2" t="s">
        <v>14</v>
      </c>
      <c r="H3" t="s">
        <v>15</v>
      </c>
      <c r="I3" s="1">
        <v>46086</v>
      </c>
      <c r="J3" t="s">
        <v>19</v>
      </c>
      <c r="K3" t="s">
        <v>20</v>
      </c>
    </row>
    <row r="4" spans="1:11" x14ac:dyDescent="0.25">
      <c r="A4" s="3">
        <v>46086</v>
      </c>
      <c r="B4" s="5" t="s">
        <v>21</v>
      </c>
      <c r="C4" s="5" t="s">
        <v>21</v>
      </c>
      <c r="D4" s="5" t="s">
        <v>12</v>
      </c>
      <c r="E4" s="4" t="str">
        <f>"0097192381671"</f>
        <v>0097192381671</v>
      </c>
      <c r="F4" s="2" t="s">
        <v>13</v>
      </c>
      <c r="G4" s="2" t="s">
        <v>14</v>
      </c>
      <c r="H4" t="s">
        <v>15</v>
      </c>
      <c r="I4" s="1">
        <v>46086</v>
      </c>
      <c r="J4" t="s">
        <v>22</v>
      </c>
      <c r="K4" t="s">
        <v>23</v>
      </c>
    </row>
    <row r="5" spans="1:11" x14ac:dyDescent="0.25">
      <c r="A5" s="3">
        <v>46086</v>
      </c>
      <c r="B5" s="5" t="s">
        <v>24</v>
      </c>
      <c r="C5" s="5" t="s">
        <v>24</v>
      </c>
      <c r="D5" s="5" t="s">
        <v>12</v>
      </c>
      <c r="E5" s="4" t="str">
        <f>"00971565646507"</f>
        <v>00971565646507</v>
      </c>
      <c r="F5" s="2" t="s">
        <v>13</v>
      </c>
      <c r="G5" s="2" t="s">
        <v>14</v>
      </c>
      <c r="H5" t="s">
        <v>15</v>
      </c>
      <c r="I5" s="1">
        <v>46086</v>
      </c>
      <c r="J5" t="s">
        <v>25</v>
      </c>
      <c r="K5" t="s">
        <v>26</v>
      </c>
    </row>
    <row r="6" spans="1:11" x14ac:dyDescent="0.25">
      <c r="A6" s="3">
        <v>46086</v>
      </c>
      <c r="B6" s="5" t="s">
        <v>24</v>
      </c>
      <c r="C6" s="5" t="s">
        <v>24</v>
      </c>
      <c r="D6" s="5" t="s">
        <v>12</v>
      </c>
      <c r="E6" s="4" t="str">
        <f>"0097192282181"</f>
        <v>0097192282181</v>
      </c>
      <c r="F6" s="2" t="s">
        <v>13</v>
      </c>
      <c r="G6" s="2" t="s">
        <v>14</v>
      </c>
      <c r="H6" t="s">
        <v>15</v>
      </c>
      <c r="I6" s="1">
        <v>46086</v>
      </c>
      <c r="J6" t="s">
        <v>27</v>
      </c>
      <c r="K6" t="s">
        <v>28</v>
      </c>
    </row>
    <row r="7" spans="1:11" x14ac:dyDescent="0.25">
      <c r="A7" s="3">
        <v>46086</v>
      </c>
      <c r="B7" s="5" t="s">
        <v>29</v>
      </c>
      <c r="C7" s="5" t="s">
        <v>29</v>
      </c>
      <c r="D7" s="5" t="s">
        <v>12</v>
      </c>
      <c r="E7" s="4" t="str">
        <f>"0097192222100"</f>
        <v>0097192222100</v>
      </c>
      <c r="F7" s="2" t="s">
        <v>13</v>
      </c>
      <c r="G7" s="2" t="s">
        <v>14</v>
      </c>
      <c r="H7" t="s">
        <v>15</v>
      </c>
      <c r="I7" s="1">
        <v>46086</v>
      </c>
      <c r="J7" t="s">
        <v>30</v>
      </c>
      <c r="K7" t="s">
        <v>31</v>
      </c>
    </row>
    <row r="8" spans="1:11" x14ac:dyDescent="0.25">
      <c r="A8" s="3">
        <v>46086</v>
      </c>
      <c r="B8" s="5" t="s">
        <v>32</v>
      </c>
      <c r="C8" s="5" t="s">
        <v>32</v>
      </c>
      <c r="D8" s="5" t="s">
        <v>12</v>
      </c>
      <c r="E8" s="4" t="str">
        <f>"0097192221812"</f>
        <v>0097192221812</v>
      </c>
      <c r="F8" s="2" t="s">
        <v>13</v>
      </c>
      <c r="G8" s="2" t="s">
        <v>14</v>
      </c>
      <c r="H8" t="s">
        <v>15</v>
      </c>
      <c r="I8" s="1">
        <v>46086</v>
      </c>
      <c r="J8" t="s">
        <v>33</v>
      </c>
      <c r="K8" t="s">
        <v>34</v>
      </c>
    </row>
    <row r="9" spans="1:11" x14ac:dyDescent="0.25">
      <c r="A9" s="3">
        <v>46086</v>
      </c>
      <c r="B9" s="5" t="s">
        <v>35</v>
      </c>
      <c r="C9" s="5" t="s">
        <v>35</v>
      </c>
      <c r="D9" s="5" t="s">
        <v>12</v>
      </c>
      <c r="E9" s="4" t="str">
        <f>"0097192229464"</f>
        <v>0097192229464</v>
      </c>
      <c r="F9" s="2" t="s">
        <v>13</v>
      </c>
      <c r="G9" s="2" t="s">
        <v>14</v>
      </c>
      <c r="H9" t="s">
        <v>15</v>
      </c>
      <c r="I9" s="1">
        <v>46086</v>
      </c>
      <c r="J9" t="s">
        <v>36</v>
      </c>
      <c r="K9" t="s">
        <v>37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TEMP_LEADS_Fujairah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Network Master</cp:lastModifiedBy>
  <dcterms:created xsi:type="dcterms:W3CDTF">2026-03-05T23:24:22Z</dcterms:created>
  <dcterms:modified xsi:type="dcterms:W3CDTF">2026-03-05T23:24:22Z</dcterms:modified>
</cp:coreProperties>
</file>