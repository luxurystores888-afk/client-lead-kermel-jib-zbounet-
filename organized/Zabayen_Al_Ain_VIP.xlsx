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b7891681c32f5/Desktop/client lead/organized/"/>
    </mc:Choice>
  </mc:AlternateContent>
  <xr:revisionPtr revIDLastSave="0" documentId="8_{0B4141EE-8BEF-401B-B9F6-8F21FE2D8578}" xr6:coauthVersionLast="47" xr6:coauthVersionMax="47" xr10:uidLastSave="{00000000-0000-0000-0000-000000000000}"/>
  <bookViews>
    <workbookView xWindow="-108" yWindow="-108" windowWidth="23256" windowHeight="12456" xr2:uid="{F4BF86FB-CC3F-4995-9645-6CFF9D59B60D}"/>
  </bookViews>
  <sheets>
    <sheet name="TEMP_LEADS_Al_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</calcChain>
</file>

<file path=xl/sharedStrings.xml><?xml version="1.0" encoding="utf-8"?>
<sst xmlns="http://schemas.openxmlformats.org/spreadsheetml/2006/main" count="115" uniqueCount="52">
  <si>
    <t>date</t>
  </si>
  <si>
    <t>lead_name</t>
  </si>
  <si>
    <t>business</t>
  </si>
  <si>
    <t>area</t>
  </si>
  <si>
    <t>phone_or_link</t>
  </si>
  <si>
    <t>channel</t>
  </si>
  <si>
    <t>status</t>
  </si>
  <si>
    <t>next_action</t>
  </si>
  <si>
    <t>next_date</t>
  </si>
  <si>
    <t>notes</t>
  </si>
  <si>
    <t>lead_id</t>
  </si>
  <si>
    <t>515 Mobile Phone</t>
  </si>
  <si>
    <t>Al Ain</t>
  </si>
  <si>
    <t>WhatsApp</t>
  </si>
  <si>
    <t>NEW</t>
  </si>
  <si>
    <t>Review and send compliant outreach</t>
  </si>
  <si>
    <t>YellowPages UAE profile | landline_or_tollfree | https://www.yellowpages-uae.com/515-mobile-phone-126657</t>
  </si>
  <si>
    <t>UAE0179</t>
  </si>
  <si>
    <t>A A Bin Hraiz Indl Supplies Establishment</t>
  </si>
  <si>
    <t>YellowPages UAE profile | landline_or_tollfree | https://www.yellowpages-uae.com/a-a-bin-hraiz-indl-supplies-establishment-130609</t>
  </si>
  <si>
    <t>UAE0180</t>
  </si>
  <si>
    <t>A Abir Ceramic Trading Establishment</t>
  </si>
  <si>
    <t>YellowPages UAE profile | landline_or_tollfree | https://www.yellowpages-uae.com/a-abir-ceramic-trading-establishment-143773</t>
  </si>
  <si>
    <t>UAE0181</t>
  </si>
  <si>
    <t>AAAI - Al Ain Automatic Irrigation Company LLC</t>
  </si>
  <si>
    <t>YellowPages UAE profile | landline_or_tollfree | https://www.yellowpages-uae.com/aaai-al-ain-automatic-irrigation-company-llc-109840</t>
  </si>
  <si>
    <t>UAE0182</t>
  </si>
  <si>
    <t>Abar Al Jazeera Al Arabia LLC</t>
  </si>
  <si>
    <t>YellowPages UAE profile | landline_or_tollfree | https://www.yellowpages-uae.com/abar-al-jazeera-al-arabia-llc-169386</t>
  </si>
  <si>
    <t>UAE0183</t>
  </si>
  <si>
    <t>Abdul Aziz Mohd Al Suwaidi Transport Establishment</t>
  </si>
  <si>
    <t>YellowPages UAE profile | landline_or_tollfree | https://www.yellowpages-uae.com/abdul-aziz-mohd-al-suwaidi-transport-establishment-105278</t>
  </si>
  <si>
    <t>UAE0184</t>
  </si>
  <si>
    <t>Abdul Aziz Restaurant</t>
  </si>
  <si>
    <t>YellowPages UAE profile | landline_or_tollfree | https://www.yellowpages-uae.com/abdul-aziz-restaurant-131916</t>
  </si>
  <si>
    <t>UAE0185</t>
  </si>
  <si>
    <t>YellowPages UAE profile | landline_or_tollfree | https://www.yellowpages-uae.com/abdul-aziz-restaurant-173505</t>
  </si>
  <si>
    <t>UAE0186</t>
  </si>
  <si>
    <t>YellowPages UAE profile | landline_or_tollfree | https://www.yellowpages-uae.com/abdul-aziz-restaurant-173506</t>
  </si>
  <si>
    <t>UAE0187</t>
  </si>
  <si>
    <t>Abdul Kareem Grocery</t>
  </si>
  <si>
    <t>YellowPages UAE profile | landline_or_tollfree | https://www.yellowpages-uae.com/abdul-kareem-grocery-165656</t>
  </si>
  <si>
    <t>UAE0188</t>
  </si>
  <si>
    <t>Abdul Majeed Electronic Stores</t>
  </si>
  <si>
    <t>YellowPages UAE profile | landline_or_tollfree | https://www.yellowpages-uae.com/abdul-majeed-electronic-stores-134487</t>
  </si>
  <si>
    <t>UAE0189</t>
  </si>
  <si>
    <t>Abdul Rahim Abdul Aziz Oil Change and Tyre Rep</t>
  </si>
  <si>
    <t>YellowPages UAE profile | landline_or_tollfree | https://www.yellowpages-uae.com/abdul-rahim-abdul-aziz-oil-change-and-tyre-rep-132834</t>
  </si>
  <si>
    <t>UAE0190</t>
  </si>
  <si>
    <t>Omar Hamadeh for Auditing &amp; Accounting</t>
  </si>
  <si>
    <t>YellowPages UAE profile | landline_or_tollfree | https://www.yellowpages-uae.com/abdul-majid-hamadeh-and-co-104438</t>
  </si>
  <si>
    <t>UAE0191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</si>
</sst>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E2591E-F21E-4337-98FF-43E6C4C095D1}" name="T_ZabayenAlAinVIP" displayName="T_ZabayenAlAinVIP" ref="A1:K14" totalsRowShown="0" headerRowDxfId="0">
  <autoFilter ref="A1:K14" xr:uid="{FEE2591E-F21E-4337-98FF-43E6C4C095D1}"/>
  <tableColumns count="11">
    <tableColumn id="1" xr3:uid="{39FE806A-C26D-4130-8B34-539FD09C801F}" name="date" dataDxfId="5"/>
    <tableColumn id="2" xr3:uid="{65772971-7F05-41F2-A138-35694F8E76FC}" name="lead_name" dataDxfId="4"/>
    <tableColumn id="3" xr3:uid="{B2B25663-6CC7-4D37-8EF1-2A8D6C03A11E}" name="business" dataDxfId="3"/>
    <tableColumn id="4" xr3:uid="{522D3258-053A-4396-B25D-0A82191038B0}" name="area" dataDxfId="1"/>
    <tableColumn id="5" xr3:uid="{23AEEAB6-1BE9-4AEF-A46C-4FAB041F1C52}" name="phone_or_link" dataDxfId="2"/>
    <tableColumn id="6" xr3:uid="{3163FC8D-4EE0-4C06-AF91-4A007AEB004C}" name="channel" dataDxfId="7"/>
    <tableColumn id="7" xr3:uid="{F482498A-8EF9-4924-8D4C-DA14CB774182}" name="status" dataDxfId="6"/>
    <tableColumn id="8" xr3:uid="{6D046F48-C35E-4FE1-B4E6-E33258487B6B}" name="next_action"/>
    <tableColumn id="9" xr3:uid="{67BDE224-6BF4-425B-9A10-F23C68335471}" name="next_date" dataDxfId="8"/>
    <tableColumn id="10" xr3:uid="{0DEF35B8-94C4-4CC7-811E-46A5C76584A8}" name="notes"/>
    <tableColumn id="11" xr3:uid="{23E07D6F-8E9C-4246-80F8-F71AF1B9FEB9}" name="lead_id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D428-B8EA-4343-AF09-E157FE9497FD}">
  <dimension ref="A1:K14"/>
  <sheetViews>
    <sheetView tabSelected="1" workbookViewId="0"/>
  </sheetViews>
  <sheetFormatPr defaultRowHeight="13.8" x14ac:dyDescent="0.25"/>
  <cols>
    <col min="1" max="1" width="10.09765625" style="2" bestFit="1" customWidth="1"/>
    <col min="2" max="3" width="43.59765625" style="5" bestFit="1" customWidth="1"/>
    <col min="4" max="4" width="6.69921875" style="5" bestFit="1" customWidth="1"/>
    <col min="5" max="5" width="17.3984375" style="2" bestFit="1" customWidth="1"/>
    <col min="6" max="6" width="11.796875" style="2" bestFit="1" customWidth="1"/>
    <col min="7" max="7" width="10.19921875" style="2" bestFit="1" customWidth="1"/>
    <col min="8" max="8" width="30.796875" bestFit="1" customWidth="1"/>
    <col min="9" max="9" width="11.59765625" bestFit="1" customWidth="1"/>
    <col min="10" max="10" width="116.8984375" bestFit="1" customWidth="1"/>
    <col min="11" max="11" width="9.19921875" bestFit="1" customWidth="1"/>
  </cols>
  <sheetData>
    <row r="1" spans="1:11" s="8" customFormat="1" ht="25.0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25">
      <c r="A2" s="3">
        <v>46086</v>
      </c>
      <c r="B2" s="5" t="s">
        <v>11</v>
      </c>
      <c r="C2" s="5" t="s">
        <v>11</v>
      </c>
      <c r="D2" s="5" t="s">
        <v>12</v>
      </c>
      <c r="E2" s="4" t="str">
        <f>"0097137666610"</f>
        <v>0097137666610</v>
      </c>
      <c r="F2" s="2" t="s">
        <v>13</v>
      </c>
      <c r="G2" s="2" t="s">
        <v>14</v>
      </c>
      <c r="H2" t="s">
        <v>15</v>
      </c>
      <c r="I2" s="1">
        <v>46086</v>
      </c>
      <c r="J2" t="s">
        <v>16</v>
      </c>
      <c r="K2" t="s">
        <v>17</v>
      </c>
    </row>
    <row r="3" spans="1:11" x14ac:dyDescent="0.25">
      <c r="A3" s="3">
        <v>46086</v>
      </c>
      <c r="B3" s="5" t="s">
        <v>18</v>
      </c>
      <c r="C3" s="5" t="s">
        <v>18</v>
      </c>
      <c r="D3" s="5" t="s">
        <v>12</v>
      </c>
      <c r="E3" s="4" t="str">
        <f>"0097137211488"</f>
        <v>0097137211488</v>
      </c>
      <c r="F3" s="2" t="s">
        <v>13</v>
      </c>
      <c r="G3" s="2" t="s">
        <v>14</v>
      </c>
      <c r="H3" t="s">
        <v>15</v>
      </c>
      <c r="I3" s="1">
        <v>46086</v>
      </c>
      <c r="J3" t="s">
        <v>19</v>
      </c>
      <c r="K3" t="s">
        <v>20</v>
      </c>
    </row>
    <row r="4" spans="1:11" x14ac:dyDescent="0.25">
      <c r="A4" s="3">
        <v>46086</v>
      </c>
      <c r="B4" s="5" t="s">
        <v>21</v>
      </c>
      <c r="C4" s="5" t="s">
        <v>21</v>
      </c>
      <c r="D4" s="5" t="s">
        <v>12</v>
      </c>
      <c r="E4" s="4" t="str">
        <f>"0097137213774"</f>
        <v>0097137213774</v>
      </c>
      <c r="F4" s="2" t="s">
        <v>13</v>
      </c>
      <c r="G4" s="2" t="s">
        <v>14</v>
      </c>
      <c r="H4" t="s">
        <v>15</v>
      </c>
      <c r="I4" s="1">
        <v>46086</v>
      </c>
      <c r="J4" t="s">
        <v>22</v>
      </c>
      <c r="K4" t="s">
        <v>23</v>
      </c>
    </row>
    <row r="5" spans="1:11" x14ac:dyDescent="0.25">
      <c r="A5" s="3">
        <v>46086</v>
      </c>
      <c r="B5" s="5" t="s">
        <v>24</v>
      </c>
      <c r="C5" s="5" t="s">
        <v>24</v>
      </c>
      <c r="D5" s="5" t="s">
        <v>12</v>
      </c>
      <c r="E5" s="4" t="str">
        <f>"0097137641290"</f>
        <v>0097137641290</v>
      </c>
      <c r="F5" s="2" t="s">
        <v>13</v>
      </c>
      <c r="G5" s="2" t="s">
        <v>14</v>
      </c>
      <c r="H5" t="s">
        <v>15</v>
      </c>
      <c r="I5" s="1">
        <v>46086</v>
      </c>
      <c r="J5" t="s">
        <v>25</v>
      </c>
      <c r="K5" t="s">
        <v>26</v>
      </c>
    </row>
    <row r="6" spans="1:11" x14ac:dyDescent="0.25">
      <c r="A6" s="3">
        <v>46086</v>
      </c>
      <c r="B6" s="5" t="s">
        <v>27</v>
      </c>
      <c r="C6" s="5" t="s">
        <v>27</v>
      </c>
      <c r="D6" s="5" t="s">
        <v>12</v>
      </c>
      <c r="E6" s="4" t="str">
        <f>"0097137825916"</f>
        <v>0097137825916</v>
      </c>
      <c r="F6" s="2" t="s">
        <v>13</v>
      </c>
      <c r="G6" s="2" t="s">
        <v>14</v>
      </c>
      <c r="H6" t="s">
        <v>15</v>
      </c>
      <c r="I6" s="1">
        <v>46086</v>
      </c>
      <c r="J6" t="s">
        <v>28</v>
      </c>
      <c r="K6" t="s">
        <v>29</v>
      </c>
    </row>
    <row r="7" spans="1:11" x14ac:dyDescent="0.25">
      <c r="A7" s="3">
        <v>46086</v>
      </c>
      <c r="B7" s="5" t="s">
        <v>30</v>
      </c>
      <c r="C7" s="5" t="s">
        <v>30</v>
      </c>
      <c r="D7" s="5" t="s">
        <v>12</v>
      </c>
      <c r="E7" s="4" t="str">
        <f>"0097137213877"</f>
        <v>0097137213877</v>
      </c>
      <c r="F7" s="2" t="s">
        <v>13</v>
      </c>
      <c r="G7" s="2" t="s">
        <v>14</v>
      </c>
      <c r="H7" t="s">
        <v>15</v>
      </c>
      <c r="I7" s="1">
        <v>46086</v>
      </c>
      <c r="J7" t="s">
        <v>31</v>
      </c>
      <c r="K7" t="s">
        <v>32</v>
      </c>
    </row>
    <row r="8" spans="1:11" x14ac:dyDescent="0.25">
      <c r="A8" s="3">
        <v>46086</v>
      </c>
      <c r="B8" s="5" t="s">
        <v>33</v>
      </c>
      <c r="C8" s="5" t="s">
        <v>33</v>
      </c>
      <c r="D8" s="5" t="s">
        <v>12</v>
      </c>
      <c r="E8" s="4" t="str">
        <f>"0097137211335"</f>
        <v>0097137211335</v>
      </c>
      <c r="F8" s="2" t="s">
        <v>13</v>
      </c>
      <c r="G8" s="2" t="s">
        <v>14</v>
      </c>
      <c r="H8" t="s">
        <v>15</v>
      </c>
      <c r="I8" s="1">
        <v>46086</v>
      </c>
      <c r="J8" t="s">
        <v>34</v>
      </c>
      <c r="K8" t="s">
        <v>35</v>
      </c>
    </row>
    <row r="9" spans="1:11" x14ac:dyDescent="0.25">
      <c r="A9" s="3">
        <v>46086</v>
      </c>
      <c r="B9" s="5" t="s">
        <v>33</v>
      </c>
      <c r="C9" s="5" t="s">
        <v>33</v>
      </c>
      <c r="D9" s="5" t="s">
        <v>12</v>
      </c>
      <c r="E9" s="4" t="str">
        <f>"0097137211601"</f>
        <v>0097137211601</v>
      </c>
      <c r="F9" s="2" t="s">
        <v>13</v>
      </c>
      <c r="G9" s="2" t="s">
        <v>14</v>
      </c>
      <c r="H9" t="s">
        <v>15</v>
      </c>
      <c r="I9" s="1">
        <v>46086</v>
      </c>
      <c r="J9" t="s">
        <v>36</v>
      </c>
      <c r="K9" t="s">
        <v>37</v>
      </c>
    </row>
    <row r="10" spans="1:11" x14ac:dyDescent="0.25">
      <c r="A10" s="3">
        <v>46086</v>
      </c>
      <c r="B10" s="5" t="s">
        <v>33</v>
      </c>
      <c r="C10" s="5" t="s">
        <v>33</v>
      </c>
      <c r="D10" s="5" t="s">
        <v>12</v>
      </c>
      <c r="E10" s="4" t="str">
        <f>"0097137645252"</f>
        <v>0097137645252</v>
      </c>
      <c r="F10" s="2" t="s">
        <v>13</v>
      </c>
      <c r="G10" s="2" t="s">
        <v>14</v>
      </c>
      <c r="H10" t="s">
        <v>15</v>
      </c>
      <c r="I10" s="1">
        <v>46086</v>
      </c>
      <c r="J10" t="s">
        <v>38</v>
      </c>
      <c r="K10" t="s">
        <v>39</v>
      </c>
    </row>
    <row r="11" spans="1:11" x14ac:dyDescent="0.25">
      <c r="A11" s="3">
        <v>46086</v>
      </c>
      <c r="B11" s="5" t="s">
        <v>40</v>
      </c>
      <c r="C11" s="5" t="s">
        <v>40</v>
      </c>
      <c r="D11" s="5" t="s">
        <v>12</v>
      </c>
      <c r="E11" s="4" t="str">
        <f>"0097137678672"</f>
        <v>0097137678672</v>
      </c>
      <c r="F11" s="2" t="s">
        <v>13</v>
      </c>
      <c r="G11" s="2" t="s">
        <v>14</v>
      </c>
      <c r="H11" t="s">
        <v>15</v>
      </c>
      <c r="I11" s="1">
        <v>46086</v>
      </c>
      <c r="J11" t="s">
        <v>41</v>
      </c>
      <c r="K11" t="s">
        <v>42</v>
      </c>
    </row>
    <row r="12" spans="1:11" x14ac:dyDescent="0.25">
      <c r="A12" s="3">
        <v>46086</v>
      </c>
      <c r="B12" s="5" t="s">
        <v>43</v>
      </c>
      <c r="C12" s="5" t="s">
        <v>43</v>
      </c>
      <c r="D12" s="5" t="s">
        <v>12</v>
      </c>
      <c r="E12" s="4" t="str">
        <f>"0097137512882"</f>
        <v>0097137512882</v>
      </c>
      <c r="F12" s="2" t="s">
        <v>13</v>
      </c>
      <c r="G12" s="2" t="s">
        <v>14</v>
      </c>
      <c r="H12" t="s">
        <v>15</v>
      </c>
      <c r="I12" s="1">
        <v>46086</v>
      </c>
      <c r="J12" t="s">
        <v>44</v>
      </c>
      <c r="K12" t="s">
        <v>45</v>
      </c>
    </row>
    <row r="13" spans="1:11" x14ac:dyDescent="0.25">
      <c r="A13" s="3">
        <v>46086</v>
      </c>
      <c r="B13" s="5" t="s">
        <v>46</v>
      </c>
      <c r="C13" s="5" t="s">
        <v>46</v>
      </c>
      <c r="D13" s="5" t="s">
        <v>12</v>
      </c>
      <c r="E13" s="4" t="str">
        <f>"0097137214731"</f>
        <v>0097137214731</v>
      </c>
      <c r="F13" s="2" t="s">
        <v>13</v>
      </c>
      <c r="G13" s="2" t="s">
        <v>14</v>
      </c>
      <c r="H13" t="s">
        <v>15</v>
      </c>
      <c r="I13" s="1">
        <v>46086</v>
      </c>
      <c r="J13" t="s">
        <v>47</v>
      </c>
      <c r="K13" t="s">
        <v>48</v>
      </c>
    </row>
    <row r="14" spans="1:11" x14ac:dyDescent="0.25">
      <c r="A14" s="3">
        <v>46086</v>
      </c>
      <c r="B14" s="5" t="s">
        <v>49</v>
      </c>
      <c r="C14" s="5" t="s">
        <v>49</v>
      </c>
      <c r="D14" s="5" t="s">
        <v>12</v>
      </c>
      <c r="E14" s="4" t="str">
        <f>"0097137669366"</f>
        <v>0097137669366</v>
      </c>
      <c r="F14" s="2" t="s">
        <v>13</v>
      </c>
      <c r="G14" s="2" t="s">
        <v>14</v>
      </c>
      <c r="H14" t="s">
        <v>15</v>
      </c>
      <c r="I14" s="1">
        <v>46086</v>
      </c>
      <c r="J14" t="s">
        <v>50</v>
      </c>
      <c r="K14" t="s">
        <v>51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TEMP_LEADS_Al_Ain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Network Master</cp:lastModifiedBy>
  <dcterms:created xsi:type="dcterms:W3CDTF">2026-03-05T23:24:02Z</dcterms:created>
  <dcterms:modified xsi:type="dcterms:W3CDTF">2026-03-05T23:24:02Z</dcterms:modified>
</cp:coreProperties>
</file>