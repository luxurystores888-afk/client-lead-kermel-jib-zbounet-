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46b7891681c32f5/Desktop/client lead/organized/"/>
    </mc:Choice>
  </mc:AlternateContent>
  <xr:revisionPtr revIDLastSave="0" documentId="8_{B33134A7-99ED-4A11-A585-D69F1C4E7A01}" xr6:coauthVersionLast="47" xr6:coauthVersionMax="47" xr10:uidLastSave="{00000000-0000-0000-0000-000000000000}"/>
  <bookViews>
    <workbookView xWindow="-108" yWindow="-108" windowWidth="23256" windowHeight="12456" xr2:uid="{C8BEFBDD-1B97-4ACC-B3EE-F0E6F970B6B4}"/>
  </bookViews>
  <sheets>
    <sheet name="TEMP_LEADS_MOBILE_ONL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</calcChain>
</file>

<file path=xl/sharedStrings.xml><?xml version="1.0" encoding="utf-8"?>
<sst xmlns="http://schemas.openxmlformats.org/spreadsheetml/2006/main" count="2227" uniqueCount="796">
  <si>
    <t>date</t>
  </si>
  <si>
    <t>lead_name</t>
  </si>
  <si>
    <t>business</t>
  </si>
  <si>
    <t>area</t>
  </si>
  <si>
    <t>phone_or_link</t>
  </si>
  <si>
    <t>channel</t>
  </si>
  <si>
    <t>status</t>
  </si>
  <si>
    <t>next_action</t>
  </si>
  <si>
    <t>next_date</t>
  </si>
  <si>
    <t>notes</t>
  </si>
  <si>
    <t>lead_id</t>
  </si>
  <si>
    <t>19 Media Events and Marketing</t>
  </si>
  <si>
    <t>Abu Dhabi</t>
  </si>
  <si>
    <t>WhatsApp</t>
  </si>
  <si>
    <t>NEW</t>
  </si>
  <si>
    <t>Review and send compliant outreach</t>
  </si>
  <si>
    <t>YellowPages UAE profile | mobile | https://www.yellowpages-uae.com/19-media-events-and-marketing-194736</t>
  </si>
  <si>
    <t>UAE0006</t>
  </si>
  <si>
    <t>UAE0007</t>
  </si>
  <si>
    <t>360 Facilities Management and Interiors</t>
  </si>
  <si>
    <t>YellowPages UAE profile | mobile | https://www.yellowpages-uae.com/360-facilities-management-and-interiors-193562</t>
  </si>
  <si>
    <t>UAE0011</t>
  </si>
  <si>
    <t>360Passenger</t>
  </si>
  <si>
    <t>YellowPages UAE profile | mobile | https://www.yellowpages-uae.com/360passenger-188602</t>
  </si>
  <si>
    <t>UAE0012</t>
  </si>
  <si>
    <t>UAE0013</t>
  </si>
  <si>
    <t>3D Arch</t>
  </si>
  <si>
    <t>YellowPages UAE profile | mobile | https://www.yellowpages-uae.com/3d-arch-181669</t>
  </si>
  <si>
    <t>UAE0015</t>
  </si>
  <si>
    <t>49'er Gold Rush - Dana Hotel</t>
  </si>
  <si>
    <t>YellowPages UAE profile | mobile | https://www.yellowpages-uae.com/49-er-gold-rush-dana-hotel-112715</t>
  </si>
  <si>
    <t>UAE0019</t>
  </si>
  <si>
    <t>UAE0020</t>
  </si>
  <si>
    <t>4D Valves and Fittings trading LLC</t>
  </si>
  <si>
    <t>YellowPages UAE profile | mobile | https://www.yellowpages-uae.com/4d-valves-and-fittings-trading-llc-182605</t>
  </si>
  <si>
    <t>UAE0024</t>
  </si>
  <si>
    <t>A &amp; O Electromechanical Works</t>
  </si>
  <si>
    <t>YellowPages UAE profile | mobile | https://www.yellowpages-uae.com/a-o-electromechanical-works-194409</t>
  </si>
  <si>
    <t>UAE0029</t>
  </si>
  <si>
    <t>A and M Gulf Star General Maintenance and Contracting Sole Proprietorship LLC</t>
  </si>
  <si>
    <t>YellowPages UAE profile | mobile | https://www.yellowpages-uae.com/a-and-m-gulf-star-general-maintenance-and-contracting-sole-proprietorship-llc-191482</t>
  </si>
  <si>
    <t>UAE0033</t>
  </si>
  <si>
    <t>UAE0034</t>
  </si>
  <si>
    <t>A K Trailer</t>
  </si>
  <si>
    <t>YellowPages UAE profile | mobile | https://www.yellowpages-uae.com/a-k-trailer-117253</t>
  </si>
  <si>
    <t>UAE0041</t>
  </si>
  <si>
    <t>A One Technology Fire Safety and Security System LLC</t>
  </si>
  <si>
    <t>YellowPages UAE profile | mobile | https://www.yellowpages-uae.com/a-one-technology-fire-safety-and-security-system-llc-153677</t>
  </si>
  <si>
    <t>UAE0046</t>
  </si>
  <si>
    <t>A Plus Advertising LLC</t>
  </si>
  <si>
    <t>YellowPages UAE profile | mobile | https://www.yellowpages-uae.com/a-plus-advertising-194432</t>
  </si>
  <si>
    <t>UAE0050</t>
  </si>
  <si>
    <t>A to Z Electronics</t>
  </si>
  <si>
    <t>YellowPages UAE profile | mobile | https://www.yellowpages-uae.com/a-to-z-electronics-149113</t>
  </si>
  <si>
    <t>UAE0052</t>
  </si>
  <si>
    <t>UAE0053</t>
  </si>
  <si>
    <t>A To Z International Accessories</t>
  </si>
  <si>
    <t>YellowPages UAE profile | mobile | https://www.yellowpages-uae.com/a-to-z-international-accessories-154441</t>
  </si>
  <si>
    <t>UAE0056</t>
  </si>
  <si>
    <t>A1 Maintenance and Cleaning Services LLC</t>
  </si>
  <si>
    <t>YellowPages UAE profile | mobile | https://www.yellowpages-uae.com/a1-maintenance-and-cleaning-services-llc-187570</t>
  </si>
  <si>
    <t>UAE0060</t>
  </si>
  <si>
    <t>UAE0061</t>
  </si>
  <si>
    <t>A2Z Debt Collection</t>
  </si>
  <si>
    <t>YellowPages UAE profile | mobile | https://www.yellowpages-uae.com/a2z-debt-collection-192705</t>
  </si>
  <si>
    <t>UAE0063</t>
  </si>
  <si>
    <t>AA Handyman &amp; Electrical Maintenance Services</t>
  </si>
  <si>
    <t>YellowPages UAE profile | mobile | https://www.yellowpages-uae.com/aa-handyman-electrical-maintenance-services-169312</t>
  </si>
  <si>
    <t>UAE0064</t>
  </si>
  <si>
    <t>AAAI - Al Ain Automatic Irrigation Company LLC</t>
  </si>
  <si>
    <t>YellowPages UAE profile | mobile | https://www.yellowpages-uae.com/aaai-al-ain-automatic-irrigation-company-llc-109839</t>
  </si>
  <si>
    <t>UAE0066</t>
  </si>
  <si>
    <t>AB Middle East</t>
  </si>
  <si>
    <t>YellowPages UAE profile | mobile | https://www.yellowpages-uae.com/ab-middle-east-190414</t>
  </si>
  <si>
    <t>UAE0073</t>
  </si>
  <si>
    <t>AB Tanks Contracting</t>
  </si>
  <si>
    <t>YellowPages UAE profile | mobile | https://www.yellowpages-uae.com/ab-tanks-contracting-181378</t>
  </si>
  <si>
    <t>UAE0075</t>
  </si>
  <si>
    <t>Abbas Hussain Mohd Clinic, Dr</t>
  </si>
  <si>
    <t>YellowPages UAE profile | mobile | https://www.yellowpages-uae.com/abbas-hussain-mohd-clinic-dr-111542</t>
  </si>
  <si>
    <t>UAE0084</t>
  </si>
  <si>
    <t>Abbas Mohammed Hussain Hardware &amp; Tools LLC</t>
  </si>
  <si>
    <t>YellowPages UAE profile | mobile | https://www.yellowpages-uae.com/abbas-mohammed-hussain-hardware-tools-llc-177088</t>
  </si>
  <si>
    <t>UAE0086</t>
  </si>
  <si>
    <t>Abc Balloons</t>
  </si>
  <si>
    <t>YellowPages UAE profile | mobile | https://www.yellowpages-uae.com/abc-balloons-182267</t>
  </si>
  <si>
    <t>UAE0088</t>
  </si>
  <si>
    <t>ABC Computer Gallery</t>
  </si>
  <si>
    <t>YellowPages UAE profile | mobile | https://www.yellowpages-uae.com/abc-computer-gallery-153368</t>
  </si>
  <si>
    <t>UAE0090</t>
  </si>
  <si>
    <t>ABC Doors and Shutters LLC</t>
  </si>
  <si>
    <t>YellowPages UAE profile | mobile | https://www.yellowpages-uae.com/abc-doors-and-shutters-llc-190778</t>
  </si>
  <si>
    <t>UAE0091</t>
  </si>
  <si>
    <t>Abdul Haque Turning Workshop</t>
  </si>
  <si>
    <t>YellowPages UAE profile | mobile | https://www.yellowpages-uae.com/abdul-haque-turning-workshop-141844</t>
  </si>
  <si>
    <t>UAE0101</t>
  </si>
  <si>
    <t>Abdul Jabar General Contracting</t>
  </si>
  <si>
    <t>YellowPages UAE profile | mobile | https://www.yellowpages-uae.com/abdul-jabar-general-contracting-175374</t>
  </si>
  <si>
    <t>UAE0102</t>
  </si>
  <si>
    <t>Abdul Rahim Trading Establishment</t>
  </si>
  <si>
    <t>YellowPages UAE profile | mobile | https://www.yellowpages-uae.com/abdul-rahim-trading-establishment-123166</t>
  </si>
  <si>
    <t>UAE0114</t>
  </si>
  <si>
    <t>Abdul Rehman Ghulam Building Equipment Rentals LLC</t>
  </si>
  <si>
    <t>YellowPages UAE profile | mobile | https://www.yellowpages-uae.com/abdul-rehman-ghulam-building-equipment-rentals-llc-191668</t>
  </si>
  <si>
    <t>UAE0119</t>
  </si>
  <si>
    <t>24/7 Battery</t>
  </si>
  <si>
    <t>Ajman</t>
  </si>
  <si>
    <t>YellowPages UAE profile | mobile | https://www.yellowpages-uae.com/24-7-battery-171224</t>
  </si>
  <si>
    <t>UAE0124</t>
  </si>
  <si>
    <t>UAE0125</t>
  </si>
  <si>
    <t>247 Steel Company</t>
  </si>
  <si>
    <t>YellowPages UAE profile | mobile | https://www.yellowpages-uae.com/247-steel-company-185744</t>
  </si>
  <si>
    <t>UAE0126</t>
  </si>
  <si>
    <t>4 Star Garments Workshop</t>
  </si>
  <si>
    <t>YellowPages UAE profile | mobile | https://www.yellowpages-uae.com/4-star-garments-workshop-157484</t>
  </si>
  <si>
    <t>UAE0128</t>
  </si>
  <si>
    <t>UAE0129</t>
  </si>
  <si>
    <t>A M Beauty Life</t>
  </si>
  <si>
    <t>YellowPages UAE profile | mobile | https://www.yellowpages-uae.com/a-m-beauty-life-169995</t>
  </si>
  <si>
    <t>UAE0135</t>
  </si>
  <si>
    <t>A V M Readymade Garments Trading</t>
  </si>
  <si>
    <t>YellowPages UAE profile | mobile | https://www.yellowpages-uae.com/a-v-m-readymade-garments-trading-143881</t>
  </si>
  <si>
    <t>UAE0142</t>
  </si>
  <si>
    <t>AA Car Washing and Accessories</t>
  </si>
  <si>
    <t>YellowPages UAE profile | mobile | https://www.yellowpages-uae.com/aa-car-washing-and-accessories-190643</t>
  </si>
  <si>
    <t>UAE0144</t>
  </si>
  <si>
    <t>Aaban Building Cleaning And Pest Control Service</t>
  </si>
  <si>
    <t>YellowPages UAE profile | mobile | https://www.yellowpages-uae.com/aaban-building-cleaning-and-pest-control-service-182576</t>
  </si>
  <si>
    <t>UAE0146</t>
  </si>
  <si>
    <t>Aahad Car Recovery Services</t>
  </si>
  <si>
    <t>YellowPages UAE profile | mobile | https://www.yellowpages-uae.com/aahad-car-recovery-services-176597</t>
  </si>
  <si>
    <t>UAE0147</t>
  </si>
  <si>
    <t>Aamir Car Recovery</t>
  </si>
  <si>
    <t>YellowPages UAE profile | mobile | https://www.yellowpages-uae.com/aamir-car-recovery-178483</t>
  </si>
  <si>
    <t>UAE0149</t>
  </si>
  <si>
    <t>Aamraa Building Materials Trading LLC</t>
  </si>
  <si>
    <t>YellowPages UAE profile | mobile | https://www.yellowpages-uae.com/aamraa-building-materials-trading-llc-188927</t>
  </si>
  <si>
    <t>UAE0150</t>
  </si>
  <si>
    <t>Aaron International FZE</t>
  </si>
  <si>
    <t>YellowPages UAE profile | mobile | https://www.yellowpages-uae.com/aaron-international-fze-168923</t>
  </si>
  <si>
    <t>UAE0152</t>
  </si>
  <si>
    <t>AASH Rubber Industries LLC</t>
  </si>
  <si>
    <t>YellowPages UAE profile | mobile | https://www.yellowpages-uae.com/aash-rubber-industries-llc-192975</t>
  </si>
  <si>
    <t>UAE0156</t>
  </si>
  <si>
    <t>Aatif Ali Building Materials Trading LLC</t>
  </si>
  <si>
    <t>YellowPages UAE profile | mobile | https://www.yellowpages-uae.com/aatif-ali-building-materials-trading-llc-195263</t>
  </si>
  <si>
    <t>UAE0158</t>
  </si>
  <si>
    <t>Aatish General Trading FZE</t>
  </si>
  <si>
    <t>YellowPages UAE profile | mobile | https://www.yellowpages-uae.com/aatish-general-trading-fze-176080</t>
  </si>
  <si>
    <t>UAE0160</t>
  </si>
  <si>
    <t>Abdul Aziz Medical Center</t>
  </si>
  <si>
    <t>YellowPages UAE profile | mobile | https://www.yellowpages-uae.com/abdul-aziz-medical-center-177111</t>
  </si>
  <si>
    <t>UAE0166</t>
  </si>
  <si>
    <t>Abdul Gafoor Carpentry</t>
  </si>
  <si>
    <t>YellowPages UAE profile | mobile | https://www.yellowpages-uae.com/abdul-gafoor-carpentry-180574</t>
  </si>
  <si>
    <t>UAE0169</t>
  </si>
  <si>
    <t>UAE0170</t>
  </si>
  <si>
    <t>Abdul Hadi Steel &amp; Aluminum Co. LLC</t>
  </si>
  <si>
    <t>YellowPages UAE profile | mobile | https://www.yellowpages-uae.com/abdul-hadi-steel-aluminum-co-llc-136292</t>
  </si>
  <si>
    <t>UAE0171</t>
  </si>
  <si>
    <t>Abdul Jalil Steel Workshop</t>
  </si>
  <si>
    <t>YellowPages UAE profile | mobile | https://www.yellowpages-uae.com/abdul-jalil-steel-workshop-146123</t>
  </si>
  <si>
    <t>UAE0173</t>
  </si>
  <si>
    <t>1 Dirham Home Insulation</t>
  </si>
  <si>
    <t>Dubai</t>
  </si>
  <si>
    <t>YellowPages UAE profile | mobile | https://www.yellowpages-uae.com/1-dirham-home-insulation-183247</t>
  </si>
  <si>
    <t>UAE0194</t>
  </si>
  <si>
    <t>101 Parathas</t>
  </si>
  <si>
    <t>YellowPages UAE profile | mobile | https://www.yellowpages-uae.com/101-parathas-174758</t>
  </si>
  <si>
    <t>UAE0203</t>
  </si>
  <si>
    <t>YellowPages UAE profile | mobile | https://www.yellowpages-uae.com/101-parathas-184891</t>
  </si>
  <si>
    <t>UAE0204</t>
  </si>
  <si>
    <t>10X Curtains</t>
  </si>
  <si>
    <t>YellowPages UAE profile | mobile | https://www.yellowpages-uae.com/10x-curtains-195393</t>
  </si>
  <si>
    <t>UAE0205</t>
  </si>
  <si>
    <t>11 11 Events</t>
  </si>
  <si>
    <t>YellowPages UAE profile | mobile | https://www.yellowpages-uae.com/11-11-events-190882</t>
  </si>
  <si>
    <t>UAE0207</t>
  </si>
  <si>
    <t>18 BRICKS</t>
  </si>
  <si>
    <t>YellowPages UAE profile | mobile | https://www.yellowpages-uae.com/18-bricks-183944</t>
  </si>
  <si>
    <t>UAE0214</t>
  </si>
  <si>
    <t>180 Technologies LLC</t>
  </si>
  <si>
    <t>YellowPages UAE profile | mobile | https://www.yellowpages-uae.com/180-technologies-llc-170096</t>
  </si>
  <si>
    <t>UAE0217</t>
  </si>
  <si>
    <t>2 Way Tourism</t>
  </si>
  <si>
    <t>YellowPages UAE profile | mobile | https://www.yellowpages-uae.com/2-way-tourism-162831</t>
  </si>
  <si>
    <t>UAE0218</t>
  </si>
  <si>
    <t>2003 Aluminium Works and Carpentry LLC</t>
  </si>
  <si>
    <t>YellowPages UAE profile | mobile | https://www.yellowpages-uae.com/2003-aluminium-works-and-carpentry-llc-132622</t>
  </si>
  <si>
    <t>UAE0220</t>
  </si>
  <si>
    <t>UAE0221</t>
  </si>
  <si>
    <t>21 Century Passengers Transport LLC</t>
  </si>
  <si>
    <t>YellowPages UAE profile | mobile | https://www.yellowpages-uae.com/21-century-passengers-transport-llc-179061</t>
  </si>
  <si>
    <t>UAE0223</t>
  </si>
  <si>
    <t>22 Movers</t>
  </si>
  <si>
    <t>YellowPages UAE profile | mobile | https://www.yellowpages-uae.com/22-movers-172984</t>
  </si>
  <si>
    <t>UAE0226</t>
  </si>
  <si>
    <t>24 Hour Batteries Services</t>
  </si>
  <si>
    <t>YellowPages UAE profile | mobile | https://www.yellowpages-uae.com/24-hour-batteries-services-192163</t>
  </si>
  <si>
    <t>UAE0229</t>
  </si>
  <si>
    <t>24Seven Home Care LLC</t>
  </si>
  <si>
    <t>YellowPages UAE profile | mobile | https://www.yellowpages-uae.com/24seven-home-care-llc-188442</t>
  </si>
  <si>
    <t>UAE0235</t>
  </si>
  <si>
    <t>3 Fils</t>
  </si>
  <si>
    <t>YellowPages UAE profile | mobile | https://www.yellowpages-uae.com/3-fils-174471</t>
  </si>
  <si>
    <t>UAE0240</t>
  </si>
  <si>
    <t>360 Business Solutions</t>
  </si>
  <si>
    <t>YellowPages UAE profile | mobile | https://www.yellowpages-uae.com/360-business-solutions-180015</t>
  </si>
  <si>
    <t>UAE0248</t>
  </si>
  <si>
    <t>UAE0249</t>
  </si>
  <si>
    <t>360 INC</t>
  </si>
  <si>
    <t>YellowPages UAE profile | mobile | https://www.yellowpages-uae.com/360-inc-173494</t>
  </si>
  <si>
    <t>UAE0252</t>
  </si>
  <si>
    <t>360 Wellness</t>
  </si>
  <si>
    <t>YellowPages UAE profile | mobile | https://www.yellowpages-uae.com/360-wellness-141786</t>
  </si>
  <si>
    <t>UAE0254</t>
  </si>
  <si>
    <t>369 Pest Control and Disinfection Services LLC</t>
  </si>
  <si>
    <t>YellowPages UAE profile | mobile | https://www.yellowpages-uae.com/369-pest-control-and-disinfection-services-194402</t>
  </si>
  <si>
    <t>UAE0261</t>
  </si>
  <si>
    <t>3D Constraction LLC</t>
  </si>
  <si>
    <t>YellowPages UAE profile | mobile | https://www.yellowpages-uae.com/3d-constraction-llc-176808</t>
  </si>
  <si>
    <t>UAE0263</t>
  </si>
  <si>
    <t>3D Manzil</t>
  </si>
  <si>
    <t>YellowPages UAE profile | mobile | https://www.yellowpages-uae.com/3d-manzil-181810</t>
  </si>
  <si>
    <t>UAE0264</t>
  </si>
  <si>
    <t>3Dimension Contracting And Decor</t>
  </si>
  <si>
    <t>YellowPages UAE profile | mobile | https://www.yellowpages-uae.com/3dimension-contracting-and-decor-183246</t>
  </si>
  <si>
    <t>UAE0267</t>
  </si>
  <si>
    <t>3Fold Training</t>
  </si>
  <si>
    <t>YellowPages UAE profile | mobile | https://www.yellowpages-uae.com/3fold-training-160263</t>
  </si>
  <si>
    <t>UAE0269</t>
  </si>
  <si>
    <t>3Gmet Technology Information</t>
  </si>
  <si>
    <t>YellowPages UAE profile | mobile | https://www.yellowpages-uae.com/3gmet-technology-information-158431</t>
  </si>
  <si>
    <t>UAE0272</t>
  </si>
  <si>
    <t>3M Stamps And Printing Services</t>
  </si>
  <si>
    <t>YellowPages UAE profile | mobile | https://www.yellowpages-uae.com/3m-stamps-and-printing-services-170098</t>
  </si>
  <si>
    <t>UAE0275</t>
  </si>
  <si>
    <t>3NPower</t>
  </si>
  <si>
    <t>YellowPages UAE profile | mobile | https://www.yellowpages-uae.com/3npower-169768</t>
  </si>
  <si>
    <t>UAE0276</t>
  </si>
  <si>
    <t>3SCube Engineering Consultants</t>
  </si>
  <si>
    <t>YellowPages UAE profile | mobile | https://www.yellowpages-uae.com/3scube-engineering-consultants-190880</t>
  </si>
  <si>
    <t>UAE0281</t>
  </si>
  <si>
    <t>4 M Building Materials Trading LLC</t>
  </si>
  <si>
    <t>YellowPages UAE profile | mobile | https://www.yellowpages-uae.com/4-m-building-materials-trading-llc-162438</t>
  </si>
  <si>
    <t>UAE0288</t>
  </si>
  <si>
    <t>4 Walls Technical Services Contracting LLC</t>
  </si>
  <si>
    <t>YellowPages UAE profile | mobile | https://www.yellowpages-uae.com/4-walls-technical-services-contracting-llc-181003</t>
  </si>
  <si>
    <t>UAE0295</t>
  </si>
  <si>
    <t>4S Study Abroad Education Services</t>
  </si>
  <si>
    <t>YellowPages UAE profile | mobile | https://www.yellowpages-uae.com/4s-study-abroad-education-services-158756</t>
  </si>
  <si>
    <t>UAE0301</t>
  </si>
  <si>
    <t>55 Car Care</t>
  </si>
  <si>
    <t>YellowPages UAE profile | mobile | https://www.yellowpages-uae.com/55-car-care-190579</t>
  </si>
  <si>
    <t>UAE0303</t>
  </si>
  <si>
    <t>5N Business Consultants</t>
  </si>
  <si>
    <t>YellowPages UAE profile | mobile | https://www.yellowpages-uae.com/5n-business-consultants-188206</t>
  </si>
  <si>
    <t>UAE0304</t>
  </si>
  <si>
    <t>6 Sigma Financial Consultancy LLC</t>
  </si>
  <si>
    <t>YellowPages UAE profile | mobile | https://www.yellowpages-uae.com/6-sigma-financial-consultancy-llc-149641</t>
  </si>
  <si>
    <t>UAE0306</t>
  </si>
  <si>
    <t>60 Minutes Laundry LLC</t>
  </si>
  <si>
    <t>YellowPages UAE profile | mobile | https://www.yellowpages-uae.com/60-minutes-laundry-llc-188547</t>
  </si>
  <si>
    <t>UAE0307</t>
  </si>
  <si>
    <t>UAE0308</t>
  </si>
  <si>
    <t>7 Media MFZ LLC</t>
  </si>
  <si>
    <t>YellowPages UAE profile | mobile | https://www.yellowpages-uae.com/7-media-mfz-llc-162983</t>
  </si>
  <si>
    <t>UAE0311</t>
  </si>
  <si>
    <t>7 Ocean General Trading LLC</t>
  </si>
  <si>
    <t>YellowPages UAE profile | mobile | https://www.yellowpages-uae.com/7-ocean-general-trading-llc-169689</t>
  </si>
  <si>
    <t>UAE0313</t>
  </si>
  <si>
    <t>7 Routes Decoration Design and Fit Out</t>
  </si>
  <si>
    <t>YellowPages UAE profile | mobile | https://www.yellowpages-uae.com/7-routes-decoration-design-and-fit-out-185725</t>
  </si>
  <si>
    <t>UAE0314</t>
  </si>
  <si>
    <t>7 Seas General Trading LLC</t>
  </si>
  <si>
    <t>YellowPages UAE profile | mobile | https://www.yellowpages-uae.com/7-seas-general-trading-llc-183945</t>
  </si>
  <si>
    <t>UAE0315</t>
  </si>
  <si>
    <t>7 Seven Luxury Car Rental</t>
  </si>
  <si>
    <t>YellowPages UAE profile | mobile | https://www.yellowpages-uae.com/7-seven-luxury-car-rental-183596</t>
  </si>
  <si>
    <t>UAE0316</t>
  </si>
  <si>
    <t>777 Cars Trading LLC</t>
  </si>
  <si>
    <t>YellowPages UAE profile | mobile | https://www.yellowpages-uae.com/777-cars-trading-llc-181914</t>
  </si>
  <si>
    <t>UAE0323</t>
  </si>
  <si>
    <t>800 BBATTERY</t>
  </si>
  <si>
    <t>YellowPages UAE profile | mobile | https://www.yellowpages-uae.com/800-bbattery-194580</t>
  </si>
  <si>
    <t>UAE0329</t>
  </si>
  <si>
    <t>800 Carguru</t>
  </si>
  <si>
    <t>YellowPages UAE profile | mobile | https://www.yellowpages-uae.com/800-carguru-187270</t>
  </si>
  <si>
    <t>UAE0330</t>
  </si>
  <si>
    <t>800 Leather Solutions</t>
  </si>
  <si>
    <t>YellowPages UAE profile | mobile | https://www.yellowpages-uae.com/800-leather-solutions-195417</t>
  </si>
  <si>
    <t>UAE0332</t>
  </si>
  <si>
    <t>800 Movers</t>
  </si>
  <si>
    <t>YellowPages UAE profile | mobile | https://www.yellowpages-uae.com/800-movers-188990</t>
  </si>
  <si>
    <t>UAE0334</t>
  </si>
  <si>
    <t>800 Pergola</t>
  </si>
  <si>
    <t>YellowPages UAE profile | mobile | https://www.yellowpages-uae.com/800-pergola-191660</t>
  </si>
  <si>
    <t>UAE0336</t>
  </si>
  <si>
    <t>800 Truck</t>
  </si>
  <si>
    <t>YellowPages UAE profile | mobile | https://www.yellowpages-uae.com/800-truck-184760</t>
  </si>
  <si>
    <t>UAE0341</t>
  </si>
  <si>
    <t>800website</t>
  </si>
  <si>
    <t>YellowPages UAE profile | mobile | https://www.yellowpages-uae.com/800website-190338</t>
  </si>
  <si>
    <t>UAE0342</t>
  </si>
  <si>
    <t>9T Studio LLC FC</t>
  </si>
  <si>
    <t>YellowPages UAE profile | mobile | https://www.yellowpages-uae.com/9t-studio-llc-fc-188389</t>
  </si>
  <si>
    <t>UAE0350</t>
  </si>
  <si>
    <t>A &amp; A Associate</t>
  </si>
  <si>
    <t>YellowPages UAE profile | mobile | https://www.yellowpages-uae.com/a-a-associate-172357</t>
  </si>
  <si>
    <t>UAE0352</t>
  </si>
  <si>
    <t>A &amp; J Decor LLC</t>
  </si>
  <si>
    <t>YellowPages UAE profile | mobile | https://www.yellowpages-uae.com/a-j-decor-llc-112619</t>
  </si>
  <si>
    <t>UAE0356</t>
  </si>
  <si>
    <t>A A A Service Centre</t>
  </si>
  <si>
    <t>YellowPages UAE profile | mobile | https://www.yellowpages-uae.com/a-a-a-service-centre-116184</t>
  </si>
  <si>
    <t>UAE0367</t>
  </si>
  <si>
    <t>A A H E Furniture Trading</t>
  </si>
  <si>
    <t>YellowPages UAE profile | mobile | https://www.yellowpages-uae.com/a-a-h-e-furniture-trading-189145</t>
  </si>
  <si>
    <t>UAE0370</t>
  </si>
  <si>
    <t>A And B Advertising</t>
  </si>
  <si>
    <t>YellowPages UAE profile | mobile | https://www.yellowpages-uae.com/a-and-b-advertising-153874</t>
  </si>
  <si>
    <t>UAE0374</t>
  </si>
  <si>
    <t>A and Z Technologies LLC</t>
  </si>
  <si>
    <t>YellowPages UAE profile | mobile | https://www.yellowpages-uae.com/a-and-z-technologies-llc-177872</t>
  </si>
  <si>
    <t>UAE0379</t>
  </si>
  <si>
    <t>A Aras Medical Devices and Equipment CO LLC</t>
  </si>
  <si>
    <t>YellowPages UAE profile | mobile | https://www.yellowpages-uae.com/a-aras-medical-devices-and-equipment-co-llc-180162</t>
  </si>
  <si>
    <t>UAE0381</t>
  </si>
  <si>
    <t>A B D Interiors LLC</t>
  </si>
  <si>
    <t>YellowPages UAE profile | mobile | https://www.yellowpages-uae.com/a-b-d-interiors-llc-153405</t>
  </si>
  <si>
    <t>UAE0388</t>
  </si>
  <si>
    <t>A B Garage</t>
  </si>
  <si>
    <t>YellowPages UAE profile | mobile | https://www.yellowpages-uae.com/a-b-garage-170100</t>
  </si>
  <si>
    <t>UAE0391</t>
  </si>
  <si>
    <t>A B Print House Llc</t>
  </si>
  <si>
    <t>YellowPages UAE profile | mobile | https://www.yellowpages-uae.com/a-b-print-house-llc-183315</t>
  </si>
  <si>
    <t>UAE0395</t>
  </si>
  <si>
    <t>A C Milan Sports Equipment</t>
  </si>
  <si>
    <t>YellowPages UAE profile | mobile | https://www.yellowpages-uae.com/a-c-milan-sports-equipment-120848</t>
  </si>
  <si>
    <t>UAE0403</t>
  </si>
  <si>
    <t>A Class Chauffeur</t>
  </si>
  <si>
    <t>YellowPages UAE profile | mobile | https://www.yellowpages-uae.com/a-class-chauffeur-172457</t>
  </si>
  <si>
    <t>UAE0407</t>
  </si>
  <si>
    <t>A E C Trading LLC</t>
  </si>
  <si>
    <t>YellowPages UAE profile | mobile | https://www.yellowpages-uae.com/a-e-c-trading-llc-132519</t>
  </si>
  <si>
    <t>UAE0410</t>
  </si>
  <si>
    <t>A F Husain LLC</t>
  </si>
  <si>
    <t>YellowPages UAE profile | mobile | https://www.yellowpages-uae.com/a-f-husain-llc-153008</t>
  </si>
  <si>
    <t>UAE0415</t>
  </si>
  <si>
    <t>A G C General Trading LLC</t>
  </si>
  <si>
    <t>YellowPages UAE profile | mobile | https://www.yellowpages-uae.com/a-g-c-general-trading-llc-131585</t>
  </si>
  <si>
    <t>UAE0419</t>
  </si>
  <si>
    <t>A H S Trading</t>
  </si>
  <si>
    <t>YellowPages UAE profile | mobile | https://www.yellowpages-uae.com/a-h-s-trading-122618</t>
  </si>
  <si>
    <t>UAE0424</t>
  </si>
  <si>
    <t>A H Technical Services LLC</t>
  </si>
  <si>
    <t>YellowPages UAE profile | mobile | https://www.yellowpages-uae.com/a-h-technical-services-llc-179098</t>
  </si>
  <si>
    <t>UAE0425</t>
  </si>
  <si>
    <t>A I G Shipping LLC</t>
  </si>
  <si>
    <t>YellowPages UAE profile | mobile | https://www.yellowpages-uae.com/a-i-g-shipping-llc-179553</t>
  </si>
  <si>
    <t>UAE0427</t>
  </si>
  <si>
    <t>A M Dhamma Perfumes Industry LLC</t>
  </si>
  <si>
    <t>YellowPages UAE profile | mobile | https://www.yellowpages-uae.com/a-m-dhamma-perfumes-industry-llc-180181</t>
  </si>
  <si>
    <t>UAE0439</t>
  </si>
  <si>
    <t>A M Electronics Trading</t>
  </si>
  <si>
    <t>YellowPages UAE profile | mobile | https://www.yellowpages-uae.com/a-m-electronics-trading-146659</t>
  </si>
  <si>
    <t>UAE0441</t>
  </si>
  <si>
    <t>A M S Tools Equipment Trading LLC</t>
  </si>
  <si>
    <t>YellowPages UAE profile | mobile | https://www.yellowpages-uae.com/a-m-s-tools-equipment-trading-llc-162525</t>
  </si>
  <si>
    <t>UAE0450</t>
  </si>
  <si>
    <t>A M Trdg Co LLC</t>
  </si>
  <si>
    <t>YellowPages UAE profile | mobile | https://www.yellowpages-uae.com/a-m-trdg-co-llc-161347</t>
  </si>
  <si>
    <t>UAE0454</t>
  </si>
  <si>
    <t>A One Interiors LLC</t>
  </si>
  <si>
    <t>YellowPages UAE profile | mobile | https://www.yellowpages-uae.com/a-one-interiors-llc-193991</t>
  </si>
  <si>
    <t>UAE0461</t>
  </si>
  <si>
    <t>A One Tools Trading LLC</t>
  </si>
  <si>
    <t>YellowPages UAE profile | mobile | https://www.yellowpages-uae.com/a-one-tools-trading-llc-163931</t>
  </si>
  <si>
    <t>UAE0464</t>
  </si>
  <si>
    <t>UAE0465</t>
  </si>
  <si>
    <t>A One Web Design and Digital Marketing Agency</t>
  </si>
  <si>
    <t>YellowPages UAE profile | mobile | https://www.yellowpages-uae.com/a-one-web-design-and-digital-marketing-agency-188850</t>
  </si>
  <si>
    <t>UAE0466</t>
  </si>
  <si>
    <t>A R S B Trading LLC</t>
  </si>
  <si>
    <t>YellowPages UAE profile | mobile | https://www.yellowpages-uae.com/a-r-s-b-trading-llc-190545</t>
  </si>
  <si>
    <t>UAE0475</t>
  </si>
  <si>
    <t>A S Documents Clearance</t>
  </si>
  <si>
    <t>YellowPages UAE profile | mobile | https://www.yellowpages-uae.com/a-s-documents-clearance-195284</t>
  </si>
  <si>
    <t>UAE0481</t>
  </si>
  <si>
    <t>A S I Scaffolding Contracting LLC</t>
  </si>
  <si>
    <t>YellowPages UAE profile | mobile | https://www.yellowpages-uae.com/a-s-i-scaffolding-contracting-llc-179794</t>
  </si>
  <si>
    <t>UAE0485</t>
  </si>
  <si>
    <t>A S M S Workshop Hardware &amp; Tools Trading LLC</t>
  </si>
  <si>
    <t>YellowPages UAE profile | mobile | https://www.yellowpages-uae.com/a-s-m-s-workshop-hardware-tools-trading-llc-171170</t>
  </si>
  <si>
    <t>UAE0488</t>
  </si>
  <si>
    <t>A S M trading</t>
  </si>
  <si>
    <t>YellowPages UAE profile | mobile | https://www.yellowpages-uae.com/a-s-m-trading-182760</t>
  </si>
  <si>
    <t>UAE0489</t>
  </si>
  <si>
    <t>A S N International Electronics Rental LLC</t>
  </si>
  <si>
    <t>YellowPages UAE profile | mobile | https://www.yellowpages-uae.com/a-s-n-international-electronics-rental-llc-163287</t>
  </si>
  <si>
    <t>UAE0492</t>
  </si>
  <si>
    <t>A S V Building and Construction Materials Trading LLC</t>
  </si>
  <si>
    <t>YellowPages UAE profile | mobile | https://www.yellowpages-uae.com/a-s-v-building-and-construction-materials-trading-llc-185662</t>
  </si>
  <si>
    <t>UAE0496</t>
  </si>
  <si>
    <t>A to Z Mobile Phone Repair</t>
  </si>
  <si>
    <t>YellowPages UAE profile | mobile | https://www.yellowpages-uae.com/a-to-z-mobile-phone-repair-185902</t>
  </si>
  <si>
    <t>UAE0506</t>
  </si>
  <si>
    <t>A To Z Passengers Transport By Rented Buses LLC</t>
  </si>
  <si>
    <t>YellowPages UAE profile | mobile | https://www.yellowpages-uae.com/a-to-z-passengers-transport-by-rented-buses-llc-162028</t>
  </si>
  <si>
    <t>UAE0507</t>
  </si>
  <si>
    <t>A to Z Waste Recycling and Trading LLC</t>
  </si>
  <si>
    <t>YellowPages UAE profile | mobile | https://www.yellowpages-uae.com/a-to-z-waste-recycling-and-trading-llc-192639</t>
  </si>
  <si>
    <t>UAE0509</t>
  </si>
  <si>
    <t>A&amp;M Alansari Auditing</t>
  </si>
  <si>
    <t>YellowPages UAE profile | mobile | https://www.yellowpages-uae.com/a-m-alansari-auditing-169600</t>
  </si>
  <si>
    <t>UAE0521</t>
  </si>
  <si>
    <t>A.A. Juma Plastic Pipes &amp; Fittings Industry Co LLC</t>
  </si>
  <si>
    <t>YellowPages UAE profile | mobile | https://www.yellowpages-uae.com/a-a-juma-platic-pipes-fittings-industry-co-llc-177701</t>
  </si>
  <si>
    <t>UAE0523</t>
  </si>
  <si>
    <t>A.L.B.A International General Trading LLC</t>
  </si>
  <si>
    <t>YellowPages UAE profile | mobile | https://www.yellowpages-uae.com/a-l-b-a-international-general-trading-llc-159268</t>
  </si>
  <si>
    <t>UAE0525</t>
  </si>
  <si>
    <t>A1 Fire Fighting</t>
  </si>
  <si>
    <t>YellowPages UAE profile | mobile | https://www.yellowpages-uae.com/a1-fire-fighting-176686</t>
  </si>
  <si>
    <t>UAE0530</t>
  </si>
  <si>
    <t>A1 Star Building &amp; Safety Materials Trading LLC</t>
  </si>
  <si>
    <t>YellowPages UAE profile | mobile | https://www.yellowpages-uae.com/a1-star-building-safety-materials-trading-llc-192767</t>
  </si>
  <si>
    <t>UAE0533</t>
  </si>
  <si>
    <t>A2Z Interior</t>
  </si>
  <si>
    <t>YellowPages UAE profile | mobile | https://www.yellowpages-uae.com/a2z-interior-159312</t>
  </si>
  <si>
    <t>UAE0535</t>
  </si>
  <si>
    <t>A2Z Professional Business Services</t>
  </si>
  <si>
    <t>YellowPages UAE profile | mobile | https://www.yellowpages-uae.com/a2z-professional-business-services-169517</t>
  </si>
  <si>
    <t>UAE0537</t>
  </si>
  <si>
    <t>AAA &amp; Associates LLC</t>
  </si>
  <si>
    <t>YellowPages UAE profile | mobile | https://www.yellowpages-uae.com/aaa-associates-llc-134826</t>
  </si>
  <si>
    <t>UAE0542</t>
  </si>
  <si>
    <t>AAA Concrete Floors LLC</t>
  </si>
  <si>
    <t>YellowPages UAE profile | mobile | https://www.yellowpages-uae.com/aaa-concrete-floors-llc-181262</t>
  </si>
  <si>
    <t>UAE0544</t>
  </si>
  <si>
    <t>AAB Auditing of Accounts</t>
  </si>
  <si>
    <t>YellowPages UAE profile | mobile | https://www.yellowpages-uae.com/aab-auditing-of-accounts-178525</t>
  </si>
  <si>
    <t>UAE0551</t>
  </si>
  <si>
    <t>AAB Industries LLC</t>
  </si>
  <si>
    <t>YellowPages UAE profile | mobile | https://www.yellowpages-uae.com/aab-industries-llc-177544</t>
  </si>
  <si>
    <t>UAE0553</t>
  </si>
  <si>
    <t>YellowPages UAE profile | mobile | https://www.yellowpages-uae.com/aaban-building-cleaning-and-pest-control-service-180325</t>
  </si>
  <si>
    <t>UAE0555</t>
  </si>
  <si>
    <t>UAE0556</t>
  </si>
  <si>
    <t>Aac and Concrete Blocks</t>
  </si>
  <si>
    <t>YellowPages UAE profile | mobile | https://www.yellowpages-uae.com/aac-block-191698</t>
  </si>
  <si>
    <t>UAE0558</t>
  </si>
  <si>
    <t>AAC Arc Architects Engineering Consultancy</t>
  </si>
  <si>
    <t>YellowPages UAE profile | mobile | https://www.yellowpages-uae.com/aac-arc-architects-engineering-consultancy-178216</t>
  </si>
  <si>
    <t>UAE0560</t>
  </si>
  <si>
    <t>AAC Global</t>
  </si>
  <si>
    <t>YellowPages UAE profile | mobile | https://www.yellowpages-uae.com/aac-global-178530</t>
  </si>
  <si>
    <t>UAE0562</t>
  </si>
  <si>
    <t>AACME Electromechanical Equipment Installation LLC</t>
  </si>
  <si>
    <t>YellowPages UAE profile | mobile | https://www.yellowpages-uae.com/aacme-electromechanical-equipment-installation-llc-184658</t>
  </si>
  <si>
    <t>UAE0564</t>
  </si>
  <si>
    <t>Aadarsh Food Stuff Trading Llc</t>
  </si>
  <si>
    <t>YellowPages UAE profile | mobile | https://www.yellowpages-uae.com/aadarsh-food-stuff-trading-llc-183464</t>
  </si>
  <si>
    <t>UAE0565</t>
  </si>
  <si>
    <t>Aajel Tourism LLC</t>
  </si>
  <si>
    <t>YellowPages UAE profile | mobile | https://www.yellowpages-uae.com/aajel-tourism-llc-159718</t>
  </si>
  <si>
    <t>UAE0570</t>
  </si>
  <si>
    <t>AAli Bus Rental</t>
  </si>
  <si>
    <t>YellowPages UAE profile | mobile | https://www.yellowpages-uae.com/aali-passengers-transport-buses-rental-llc-169820</t>
  </si>
  <si>
    <t>UAE0575</t>
  </si>
  <si>
    <t>Aalishan Trdg Co LLC</t>
  </si>
  <si>
    <t>YellowPages UAE profile | mobile | https://www.yellowpages-uae.com/aalishan-trdg-co-llc-148658</t>
  </si>
  <si>
    <t>UAE0578</t>
  </si>
  <si>
    <t>Aamir Aziz Fruits And Vegetables Trading LLC</t>
  </si>
  <si>
    <t>YellowPages UAE profile | mobile | https://www.yellowpages-uae.com/aamir-aziz-fruits-and-vegetables-trading-llc-178963</t>
  </si>
  <si>
    <t>UAE0580</t>
  </si>
  <si>
    <t>UAE0581</t>
  </si>
  <si>
    <t>Aande Garage Doors</t>
  </si>
  <si>
    <t>YellowPages UAE profile | mobile | https://www.yellowpages-uae.com/aande-garage-doors-180243</t>
  </si>
  <si>
    <t>UAE0582</t>
  </si>
  <si>
    <t>AAQ Technical Services LLC</t>
  </si>
  <si>
    <t>YellowPages UAE profile | mobile | https://www.yellowpages-uae.com/aaq-technical-services-llc-144460</t>
  </si>
  <si>
    <t>UAE0589</t>
  </si>
  <si>
    <t>Aariz Computer Trading LLC</t>
  </si>
  <si>
    <t>YellowPages UAE profile | mobile | https://www.yellowpages-uae.com/aariz-computer-trading-llc-190558</t>
  </si>
  <si>
    <t>UAE0593</t>
  </si>
  <si>
    <t>Aarmak Auditing &amp; Consulting</t>
  </si>
  <si>
    <t>YellowPages UAE profile | mobile | https://www.yellowpages-uae.com/aarmak-auditing-consulting-143430</t>
  </si>
  <si>
    <t>UAE0595</t>
  </si>
  <si>
    <t>Aarmax Media</t>
  </si>
  <si>
    <t>YellowPages UAE profile | mobile | https://www.yellowpages-uae.com/aarmax-media-192577</t>
  </si>
  <si>
    <t>UAE0597</t>
  </si>
  <si>
    <t>Aarogyashala Advanced Ayurveda Medical Center</t>
  </si>
  <si>
    <t>YellowPages UAE profile | mobile | https://www.yellowpages-uae.com/aarogyashala-advanced-ayurveda-medical-center-192930</t>
  </si>
  <si>
    <t>UAE0598</t>
  </si>
  <si>
    <t>AARRC Accounting &amp; Consultancy LLC</t>
  </si>
  <si>
    <t>YellowPages UAE profile | mobile | https://www.yellowpages-uae.com/aarrc-accounting-consultancy-llc-185138</t>
  </si>
  <si>
    <t>UAE0599</t>
  </si>
  <si>
    <t>UAE0600</t>
  </si>
  <si>
    <t>Aarya Auto Repairs LLC</t>
  </si>
  <si>
    <t>YellowPages UAE profile | mobile | https://www.yellowpages-uae.com/aarya-auto-repairs-llc-160763</t>
  </si>
  <si>
    <t>UAE0605</t>
  </si>
  <si>
    <t>Aat Services LLC</t>
  </si>
  <si>
    <t>YellowPages UAE profile | mobile | https://www.yellowpages-uae.com/aat-services-llc-191925</t>
  </si>
  <si>
    <t>UAE0609</t>
  </si>
  <si>
    <t>AATCO General Trading LLC</t>
  </si>
  <si>
    <t>YellowPages UAE profile | mobile | https://www.yellowpages-uae.com/aatco-general-trading-llc-158850</t>
  </si>
  <si>
    <t>UAE0611</t>
  </si>
  <si>
    <t>Aats</t>
  </si>
  <si>
    <t>YellowPages UAE profile | mobile | https://www.yellowpages-uae.com/aats-183520</t>
  </si>
  <si>
    <t>UAE0617</t>
  </si>
  <si>
    <t>Aazer Security Equipment LLC</t>
  </si>
  <si>
    <t>YellowPages UAE profile | mobile | https://www.yellowpages-uae.com/aazer-security-equipment-llc-184589</t>
  </si>
  <si>
    <t>UAE0619</t>
  </si>
  <si>
    <t>AB Capital Services</t>
  </si>
  <si>
    <t>YellowPages UAE profile | mobile | https://www.yellowpages-uae.com/ab-capital-services-193000</t>
  </si>
  <si>
    <t>UAE0620</t>
  </si>
  <si>
    <t>Ab Dab Electronics Exchange</t>
  </si>
  <si>
    <t>YellowPages UAE profile | mobile | https://www.yellowpages-uae.com/ab-dab-electronics-exchange-179696</t>
  </si>
  <si>
    <t>UAE0621</t>
  </si>
  <si>
    <t>AB Fitness</t>
  </si>
  <si>
    <t>YellowPages UAE profile | mobile | https://www.yellowpages-uae.com/ab-fitness-193438</t>
  </si>
  <si>
    <t>UAE0622</t>
  </si>
  <si>
    <t>AB Mixology Hospitality Services LLC</t>
  </si>
  <si>
    <t>YellowPages UAE profile | mobile | https://www.yellowpages-uae.com/ab-mixology-hospitality-services-llc-188542</t>
  </si>
  <si>
    <t>UAE0624</t>
  </si>
  <si>
    <t>AB Print House LLC</t>
  </si>
  <si>
    <t>YellowPages UAE profile | mobile | https://www.yellowpages-uae.com/ab-print-house-llc-188408</t>
  </si>
  <si>
    <t>UAE0626</t>
  </si>
  <si>
    <t>Ababil Metal Processing LLC</t>
  </si>
  <si>
    <t>YellowPages UAE profile | mobile | https://www.yellowpages-uae.com/ababil-metal-processing-llc-184834</t>
  </si>
  <si>
    <t>UAE0630</t>
  </si>
  <si>
    <t>Abacus Legal Consultants</t>
  </si>
  <si>
    <t>YellowPages UAE profile | mobile | https://www.yellowpages-uae.com/abacus-legal-consultants-170102</t>
  </si>
  <si>
    <t>UAE0634</t>
  </si>
  <si>
    <t>Abalone General Trading LLC</t>
  </si>
  <si>
    <t>YellowPages UAE profile | mobile | https://www.yellowpages-uae.com/abalone-general-trading-llc-185171</t>
  </si>
  <si>
    <t>UAE0641</t>
  </si>
  <si>
    <t>Abaq Al Yasmin Wall Painting Services</t>
  </si>
  <si>
    <t>YellowPages UAE profile | mobile | https://www.yellowpages-uae.com/abaq-al-yasmin-wall-painting-services-182987</t>
  </si>
  <si>
    <t>UAE0644</t>
  </si>
  <si>
    <t>Abasco Tools Trading LLC</t>
  </si>
  <si>
    <t>YellowPages UAE profile | mobile | https://www.yellowpages-uae.com/abasco-tools-trading-llc-181018</t>
  </si>
  <si>
    <t>UAE0646</t>
  </si>
  <si>
    <t>Abaya Mart</t>
  </si>
  <si>
    <t>YellowPages UAE profile | mobile | https://www.yellowpages-uae.com/abaya-mart-187635</t>
  </si>
  <si>
    <t>UAE0651</t>
  </si>
  <si>
    <t>Abazar Interiors</t>
  </si>
  <si>
    <t>YellowPages UAE profile | mobile | https://www.yellowpages-uae.com/abazar-technical-workshop-179707</t>
  </si>
  <si>
    <t>UAE0655</t>
  </si>
  <si>
    <t>Abazar Shelving</t>
  </si>
  <si>
    <t>YellowPages UAE profile | mobile | https://www.yellowpages-uae.com/abazar-shelving-169052</t>
  </si>
  <si>
    <t>UAE0657</t>
  </si>
  <si>
    <t>ABB Industries LLC</t>
  </si>
  <si>
    <t>YellowPages UAE profile | mobile | https://www.yellowpages-uae.com/abb-industries-llc-113741</t>
  </si>
  <si>
    <t>UAE0660</t>
  </si>
  <si>
    <t>Abbadi Technical Services</t>
  </si>
  <si>
    <t>YellowPages UAE profile | mobile | https://www.yellowpages-uae.com/abbadi-technical-services-180269</t>
  </si>
  <si>
    <t>UAE0664</t>
  </si>
  <si>
    <t>Abbas Juma Clearing and Forwarding LLC</t>
  </si>
  <si>
    <t>YellowPages UAE profile | mobile | https://www.yellowpages-uae.com/abbas-jum-clearing-and-forwarding-llc-152920</t>
  </si>
  <si>
    <t>UAE0672</t>
  </si>
  <si>
    <t>Abbas Steel Tank Factory LLC</t>
  </si>
  <si>
    <t>YellowPages UAE profile | mobile | https://www.yellowpages-uae.com/abbas-steel-tank-factory-llc-114984</t>
  </si>
  <si>
    <t>UAE0680</t>
  </si>
  <si>
    <t>Abbas Yousuf Trading LLC</t>
  </si>
  <si>
    <t>YellowPages UAE profile | mobile | https://www.yellowpages-uae.com/abbas-yousuf-trading-llc-112466</t>
  </si>
  <si>
    <t>UAE0683</t>
  </si>
  <si>
    <t>Abbm Facilities Management</t>
  </si>
  <si>
    <t>YellowPages UAE profile | mobile | https://www.yellowpages-uae.com/abbm-facilities-management-183947</t>
  </si>
  <si>
    <t>UAE0686</t>
  </si>
  <si>
    <t>ABBU Technical Services</t>
  </si>
  <si>
    <t>YellowPages UAE profile | mobile | https://www.yellowpages-uae.com/abbu-technical-services-177767</t>
  </si>
  <si>
    <t>UAE0689</t>
  </si>
  <si>
    <t>ABC Cargo And Courier LLC</t>
  </si>
  <si>
    <t>YellowPages UAE profile | mobile | https://www.yellowpages-uae.com/abc-cargo-and-courier-llc-170103</t>
  </si>
  <si>
    <t>UAE0692</t>
  </si>
  <si>
    <t>Abc Cargo Courier Llc</t>
  </si>
  <si>
    <t>YellowPages UAE profile | mobile | https://www.yellowpages-uae.com/abc-cargo-courier-llc-183466</t>
  </si>
  <si>
    <t>UAE0694</t>
  </si>
  <si>
    <t>Abc LLC</t>
  </si>
  <si>
    <t>YellowPages UAE profile | mobile | https://www.yellowpages-uae.com/abc-llc-169614</t>
  </si>
  <si>
    <t>UAE0696</t>
  </si>
  <si>
    <t>ABC Sportfields LLC</t>
  </si>
  <si>
    <t>YellowPages UAE profile | mobile | https://www.yellowpages-uae.com/abc-sportfields-llc-187327</t>
  </si>
  <si>
    <t>UAE0699</t>
  </si>
  <si>
    <t>UAE0700</t>
  </si>
  <si>
    <t>ABC Surveys</t>
  </si>
  <si>
    <t>YellowPages UAE profile | mobile | https://www.yellowpages-uae.com/abc-surveys-153784</t>
  </si>
  <si>
    <t>UAE0701</t>
  </si>
  <si>
    <t>Abco Uniform</t>
  </si>
  <si>
    <t>YellowPages UAE profile | mobile | https://www.yellowpages-uae.com/abco-uniform-180519</t>
  </si>
  <si>
    <t>UAE0704</t>
  </si>
  <si>
    <t>Abcom Office Supplies LLC</t>
  </si>
  <si>
    <t>YellowPages UAE profile | mobile | https://www.yellowpages-uae.com/abcom-office-supplies-llc-134269</t>
  </si>
  <si>
    <t>UAE0707</t>
  </si>
  <si>
    <t>Abcomm Security and Surveillance</t>
  </si>
  <si>
    <t>YellowPages UAE profile | mobile | https://www.yellowpages-uae.com/abcomm-security-and-surveillance-169534</t>
  </si>
  <si>
    <t>UAE0709</t>
  </si>
  <si>
    <t>Abcon Branding</t>
  </si>
  <si>
    <t>YellowPages UAE profile | mobile | https://www.yellowpages-uae.com/abcon-branding-192632</t>
  </si>
  <si>
    <t>UAE0710</t>
  </si>
  <si>
    <t>Abcon Safety Consultancy LLC</t>
  </si>
  <si>
    <t>YellowPages UAE profile | mobile | https://www.yellowpages-uae.com/abcon-safety-consultancy-llc-192417</t>
  </si>
  <si>
    <t>UAE0712</t>
  </si>
  <si>
    <t>UAE0713</t>
  </si>
  <si>
    <t>Abdolute Events</t>
  </si>
  <si>
    <t>YellowPages UAE profile | mobile | https://www.yellowpages-uae.com/abdolute-events-158938</t>
  </si>
  <si>
    <t>UAE0721</t>
  </si>
  <si>
    <t>ABDOS Lamitubes Manufacturing LLC</t>
  </si>
  <si>
    <t>YellowPages UAE profile | mobile | https://www.yellowpages-uae.com/abdos-lamitubes-manufacturing-llc-185953</t>
  </si>
  <si>
    <t>UAE0722</t>
  </si>
  <si>
    <t>Abdul Fatah Marzooqi Trading Co LLC</t>
  </si>
  <si>
    <t>YellowPages UAE profile | mobile | https://www.yellowpages-uae.com/abdul-fatah-marzooqi-trading-co-llc-187037</t>
  </si>
  <si>
    <t>UAE0734</t>
  </si>
  <si>
    <t>Abdul Gafoor &amp; Alam Khan Heavy &amp; Light Truck Transport LLC</t>
  </si>
  <si>
    <t>YellowPages UAE profile | mobile | https://www.yellowpages-uae.com/abdul-gafoor-alam-khan-heavy-light-truck-transport-llc-176526</t>
  </si>
  <si>
    <t>UAE0736</t>
  </si>
  <si>
    <t>Abdul Ghani Glass &amp; Metal</t>
  </si>
  <si>
    <t>YellowPages UAE profile | mobile | https://www.yellowpages-uae.com/abdul-ghani-glass-metal-161836</t>
  </si>
  <si>
    <t>UAE0740</t>
  </si>
  <si>
    <t>Abdul Kadir Hakimuddin Trading Co</t>
  </si>
  <si>
    <t>YellowPages UAE profile | mobile | https://www.yellowpages-uae.com/abdul-kadir-hakimuddin-trading-co-183660</t>
  </si>
  <si>
    <t>UAE0752</t>
  </si>
  <si>
    <t>Abdul Kadir Hakimuddin Trading Co LLC</t>
  </si>
  <si>
    <t>YellowPages UAE profile | mobile | https://www.yellowpages-uae.com/abdul-kadir-hakimuddin-trading-co-llc-176658</t>
  </si>
  <si>
    <t>UAE0754</t>
  </si>
  <si>
    <t>Abdul Naveed Malik Technical And Cleaning LLC</t>
  </si>
  <si>
    <t>YellowPages UAE profile | mobile | https://www.yellowpages-uae.com/abdul-naveed-malik-technical-and-cleaning-llc-179204</t>
  </si>
  <si>
    <t>UAE0763</t>
  </si>
  <si>
    <t>Abdul Noor Al Rais Group</t>
  </si>
  <si>
    <t>YellowPages UAE profile | mobile | https://www.yellowpages-uae.com/abdul-noor-al-rais-group-12451</t>
  </si>
  <si>
    <t>UAE0765</t>
  </si>
  <si>
    <t>Abdul Rahim Ali Mohd and Sons</t>
  </si>
  <si>
    <t>YellowPages UAE profile | mobile | https://www.yellowpages-uae.com/abdul-rahim-ali-mohd-and-sons-112814</t>
  </si>
  <si>
    <t>UAE0774</t>
  </si>
  <si>
    <t>Abdul Rahman Abdul Rahim Al Zarooni Passenger Transport</t>
  </si>
  <si>
    <t>YellowPages UAE profile | mobile | https://www.yellowpages-uae.com/abdul-rahman-abdul-rahim-al-zarooni-passenger-transport-158815</t>
  </si>
  <si>
    <t>UAE0780</t>
  </si>
  <si>
    <t>Abdul Rahman Abdulla Building Material</t>
  </si>
  <si>
    <t>YellowPages UAE profile | mobile | https://www.yellowpages-uae.com/abdul-rahman-abdulla-building-material-188623</t>
  </si>
  <si>
    <t>UAE0782</t>
  </si>
  <si>
    <t>Abdul Razzaq Mohiddin Abdulla Trading Establishment</t>
  </si>
  <si>
    <t>YellowPages UAE profile | mobile | https://www.yellowpages-uae.com/abdul-razzaq-mohiddin-abdulla-trading-establishment-181286</t>
  </si>
  <si>
    <t>UAE0807</t>
  </si>
  <si>
    <t>Abdul Rehman Mudassar Transportation LLC</t>
  </si>
  <si>
    <t>YellowPages UAE profile | mobile | https://www.yellowpages-uae.com/abdul-rehman-mudassar-transportation-llc-190600</t>
  </si>
  <si>
    <t>UAE0812</t>
  </si>
  <si>
    <t>AMR General Trading Co LLC</t>
  </si>
  <si>
    <t>YellowPages UAE profile | mobile | https://www.yellowpages-uae.com/a-m-r-trdg-co-llc-161343</t>
  </si>
  <si>
    <t>UAE0817</t>
  </si>
  <si>
    <t>AST Technical Services LLC</t>
  </si>
  <si>
    <t>YellowPages UAE profile | mobile | https://www.yellowpages-uae.com/a-s-t-technical-services-llc-168570</t>
  </si>
  <si>
    <t>UAE0818</t>
  </si>
  <si>
    <t>UAE0819</t>
  </si>
  <si>
    <t>World of Pens and Accessories</t>
  </si>
  <si>
    <t>YellowPages UAE profile | mobile | https://www.yellowpages-uae.com/a-world-of-pens-and-accessories-113932</t>
  </si>
  <si>
    <t>UAE0825</t>
  </si>
  <si>
    <t>A2Y Construction and Electromechanical</t>
  </si>
  <si>
    <t>Fujairah</t>
  </si>
  <si>
    <t>YellowPages UAE profile | mobile | https://www.yellowpages-uae.com/a2y-construction-and-electromechanical-176192</t>
  </si>
  <si>
    <t>UAE0829</t>
  </si>
  <si>
    <t>A F Compressors Middle East FZE</t>
  </si>
  <si>
    <t>Jebel Ali</t>
  </si>
  <si>
    <t>YellowPages UAE profile | mobile | https://www.yellowpages-uae.com/a-f-compressors-middle-east-fze-142672</t>
  </si>
  <si>
    <t>UAE0847</t>
  </si>
  <si>
    <t>AAA Freight Services</t>
  </si>
  <si>
    <t>YellowPages UAE profile | mobile | https://www.yellowpages-uae.com/aaa-freight-services-169117</t>
  </si>
  <si>
    <t>UAE0856</t>
  </si>
  <si>
    <t>AK Cladding LLC</t>
  </si>
  <si>
    <t>YellowPages UAE profile | mobile | https://www.yellowpages-uae.com/a-k-cladding-180847</t>
  </si>
  <si>
    <t>UAE0868</t>
  </si>
  <si>
    <t>123 Cargo LLC</t>
  </si>
  <si>
    <t>Sharjah</t>
  </si>
  <si>
    <t>YellowPages UAE profile | mobile | https://www.yellowpages-uae.com/123-cargo-llc-170093</t>
  </si>
  <si>
    <t>UAE0883</t>
  </si>
  <si>
    <t>360 Degree Global Trading FZC</t>
  </si>
  <si>
    <t>YellowPages UAE profile | mobile | https://www.yellowpages-uae.com/360-degree-global-trading-fzc-172573</t>
  </si>
  <si>
    <t>UAE0887</t>
  </si>
  <si>
    <t>360 Degree Hub</t>
  </si>
  <si>
    <t>YellowPages UAE profile | mobile | https://www.yellowpages-uae.com/360-degree-hub-189058</t>
  </si>
  <si>
    <t>UAE0888</t>
  </si>
  <si>
    <t>4U Power Generation FZC</t>
  </si>
  <si>
    <t>YellowPages UAE profile | mobile | https://www.yellowpages-uae.com/4u-power-generation-fzc-188988</t>
  </si>
  <si>
    <t>UAE0891</t>
  </si>
  <si>
    <t>A Alico Ltd</t>
  </si>
  <si>
    <t>YellowPages UAE profile | mobile | https://www.yellowpages-uae.com/a-alico-ltd-141175</t>
  </si>
  <si>
    <t>UAE0895</t>
  </si>
  <si>
    <t>A Alvares</t>
  </si>
  <si>
    <t>YellowPages UAE profile | mobile | https://www.yellowpages-uae.com/a-alvares-145325</t>
  </si>
  <si>
    <t>UAE0897</t>
  </si>
  <si>
    <t>A Movers</t>
  </si>
  <si>
    <t>YellowPages UAE profile | mobile | https://www.yellowpages-uae.com/a-movers-177497</t>
  </si>
  <si>
    <t>UAE0909</t>
  </si>
  <si>
    <t>A Royal Fifty3 LLC</t>
  </si>
  <si>
    <t>YellowPages UAE profile | mobile | https://www.yellowpages-uae.com/a-royal-fifty3-llc-180085</t>
  </si>
  <si>
    <t>UAE0914</t>
  </si>
  <si>
    <t>A T Generators</t>
  </si>
  <si>
    <t>YellowPages UAE profile | mobile | https://www.yellowpages-uae.com/a-t-generators-106587</t>
  </si>
  <si>
    <t>UAE0916</t>
  </si>
  <si>
    <t>A.alico.LLC</t>
  </si>
  <si>
    <t>YellowPages UAE profile | mobile | https://www.yellowpages-uae.com/aalicollc-182855</t>
  </si>
  <si>
    <t>UAE0918</t>
  </si>
  <si>
    <t>AAAP Business Services FZE</t>
  </si>
  <si>
    <t>YellowPages UAE profile | mobile | https://www.yellowpages-uae.com/aaap-business-services-fze-191165</t>
  </si>
  <si>
    <t>UAE0921</t>
  </si>
  <si>
    <t>AAB Electricals</t>
  </si>
  <si>
    <t>YellowPages UAE profile | mobile | https://www.yellowpages-uae.com/aab-electricals-170101</t>
  </si>
  <si>
    <t>UAE0922</t>
  </si>
  <si>
    <t>Aadiyogi FZC</t>
  </si>
  <si>
    <t>YellowPages UAE profile | mobile | https://www.yellowpages-uae.com/aadiyogi-fzc-190550</t>
  </si>
  <si>
    <t>UAE0924</t>
  </si>
  <si>
    <t>Aaly Qadar Hardware &amp; Electric Ware LLC</t>
  </si>
  <si>
    <t>YellowPages UAE profile | mobile | https://www.yellowpages-uae.com/aaly-qadar-hardware-electric-ware-llc-186993</t>
  </si>
  <si>
    <t>UAE0928</t>
  </si>
  <si>
    <t>UAE0929</t>
  </si>
  <si>
    <t>Aamer And Amma Motors Middle East FZC</t>
  </si>
  <si>
    <t>YellowPages UAE profile | mobile | https://www.yellowpages-uae.com/aamer-and-amma-motors-middle-east-fzc-189511</t>
  </si>
  <si>
    <t>UAE0930</t>
  </si>
  <si>
    <t>Aarvi Encon Private Ltd</t>
  </si>
  <si>
    <t>YellowPages UAE profile | mobile | https://www.yellowpages-uae.com/aarvi-encon-private-ltd-103563</t>
  </si>
  <si>
    <t>UAE0932</t>
  </si>
  <si>
    <t>UAE0933</t>
  </si>
  <si>
    <t>Aarya Engineering FZC</t>
  </si>
  <si>
    <t>YellowPages UAE profile | mobile | https://www.yellowpages-uae.com/aarya-engineering-fzc-136237</t>
  </si>
  <si>
    <t>UAE0934</t>
  </si>
  <si>
    <t>Ab Alkhair Sona Grocery</t>
  </si>
  <si>
    <t>YellowPages UAE profile | mobile | https://www.yellowpages-uae.com/ab-alkhair-sona-grocery-166513</t>
  </si>
  <si>
    <t>UAE0936</t>
  </si>
  <si>
    <t>Abacus IT Solutions FZE</t>
  </si>
  <si>
    <t>YellowPages UAE profile | mobile | https://www.yellowpages-uae.com/abacus-it-solutions-fze-148490</t>
  </si>
  <si>
    <t>UAE0938</t>
  </si>
  <si>
    <t>UAE0939</t>
  </si>
  <si>
    <t>Abba Events and Exhibitions LLC</t>
  </si>
  <si>
    <t>YellowPages UAE profile | mobile | https://www.yellowpages-uae.com/abba-events-and-exhibitions-llc-123435</t>
  </si>
  <si>
    <t>UAE0944</t>
  </si>
  <si>
    <t>UAE0945</t>
  </si>
  <si>
    <t>Abbad Soil and Building Material Testing</t>
  </si>
  <si>
    <t>YellowPages UAE profile | mobile | https://www.yellowpages-uae.com/abbad-soil-and-building-material-testing-179601</t>
  </si>
  <si>
    <t>UAE0950</t>
  </si>
  <si>
    <t>Abbas Ali Hardware &amp; Electric Ware Trading Est</t>
  </si>
  <si>
    <t>YellowPages UAE profile | mobile | https://www.yellowpages-uae.com/abbas-ali-hardware-trading-184377</t>
  </si>
  <si>
    <t>UAE0954</t>
  </si>
  <si>
    <t>UAE0955</t>
  </si>
  <si>
    <t>ABC Ceramics</t>
  </si>
  <si>
    <t>YellowPages UAE profile | mobile | https://www.yellowpages-uae.com/abc-ceramics-181500</t>
  </si>
  <si>
    <t>UAE0957</t>
  </si>
  <si>
    <t>ABC Chemical Exports Pvt Limited</t>
  </si>
  <si>
    <t>YellowPages UAE profile | mobile | https://www.yellowpages-uae.com/abc-chemical-exports-pvt-limited-118939</t>
  </si>
  <si>
    <t>UAE0958</t>
  </si>
  <si>
    <t>Abdelhamid &amp; Co Certified Public Accountants &amp; Auditors</t>
  </si>
  <si>
    <t>YellowPages UAE profile | mobile | https://www.yellowpages-uae.com/abdelhamid-company-certified-public-accountants-auditors-169016</t>
  </si>
  <si>
    <t>UAE0962</t>
  </si>
  <si>
    <t>Abdul Basit Farooq Auto Rep</t>
  </si>
  <si>
    <t>YellowPages UAE profile | mobile | https://www.yellowpages-uae.com/abdul-basit-farooq-auto-rep-190067</t>
  </si>
  <si>
    <t>UAE0967</t>
  </si>
  <si>
    <t>Abdul Ghani Medical Center</t>
  </si>
  <si>
    <t>YellowPages UAE profile | mobile | https://www.yellowpages-uae.com/abdul-ghani-medical-center-6011</t>
  </si>
  <si>
    <t>UAE0968</t>
  </si>
  <si>
    <t>Abdul Mannan Ahmed Auto Paints &amp; Glass Tr.</t>
  </si>
  <si>
    <t>YellowPages UAE profile | mobile | https://www.yellowpages-uae.com/abdul-mannan-ahmed-auto-paints-glass-tr-176671</t>
  </si>
  <si>
    <t>UAE0972</t>
  </si>
  <si>
    <t>UAE0973</t>
  </si>
  <si>
    <t>Abdul Rahman Al Bah Building Materials Trading Co LLC</t>
  </si>
  <si>
    <t>YellowPages UAE profile | mobile | https://www.yellowpages-uae.com/abdul-rahman-al-bah-bldg-mat-trdg-co-llc-151181</t>
  </si>
  <si>
    <t>UAE0975</t>
  </si>
  <si>
    <t>UAE0976</t>
  </si>
  <si>
    <t>Abdul Rahman Al Mouni Tyres Services</t>
  </si>
  <si>
    <t>YellowPages UAE profile | mobile | https://www.yellowpages-uae.com/abdul-rahman-al-mouni-tyres-services-123271</t>
  </si>
  <si>
    <t>UAE0978</t>
  </si>
  <si>
    <t>Abdul Razzaq Auto Glass</t>
  </si>
  <si>
    <t>YellowPages UAE profile | mobile | https://www.yellowpages-uae.com/abdul-razzaq-auto-glass-150001</t>
  </si>
  <si>
    <t>UAE0983</t>
  </si>
  <si>
    <t>Abdul Saeed Abdul Hameed Scrap Metal Alum and Copper Scrap Tr</t>
  </si>
  <si>
    <t>YellowPages UAE profile | mobile | https://www.yellowpages-uae.com/abdul-saeed-abdul-hameed-scrap-metal-alum-and-copper-scrap-tr-189176</t>
  </si>
  <si>
    <t>UAE0984</t>
  </si>
  <si>
    <t>UAE0985</t>
  </si>
  <si>
    <t>Anwar Al Bashaier Bldg Mat Tr Co LLC</t>
  </si>
  <si>
    <t>YellowPages UAE profile | mobile | https://www.yellowpages-uae.com/a-al-bashaier-trading-corp-116317</t>
  </si>
  <si>
    <t>UAE0986</t>
  </si>
  <si>
    <t>A to Z Steel Company LLC</t>
  </si>
  <si>
    <t>Umm Al Quwain</t>
  </si>
  <si>
    <t>YellowPages UAE profile | mobile | https://www.yellowpages-uae.com/a-to-z-steel-company-llc-111575</t>
  </si>
  <si>
    <t>UAE0989</t>
  </si>
  <si>
    <t>A1 Carton and Packaging Industry LLC</t>
  </si>
  <si>
    <t>YellowPages UAE profile | mobile | https://www.yellowpages-uae.com/a1-carton-and-packaging-industry-llc-190042</t>
  </si>
  <si>
    <t>UAE0991</t>
  </si>
  <si>
    <t>A1 Plastic Industry</t>
  </si>
  <si>
    <t>YellowPages UAE profile | mobile | https://www.yellowpages-uae.com/a1-plastic-industry-158326</t>
  </si>
  <si>
    <t>UAE0993</t>
  </si>
  <si>
    <t>Abdul Rehman Mohamed Noor Embroidery &amp; Tailoring</t>
  </si>
  <si>
    <t>YellowPages UAE profile | mobile | https://www.yellowpages-uae.com/abdul-rehman-mohamed-noor-embroidery-tailoring-189741</t>
  </si>
  <si>
    <t>UAE0998</t>
  </si>
  <si>
    <t>A-One Fire Fighting and Safety Equipments</t>
  </si>
  <si>
    <t>YellowPages UAE profile | mobile | https://www.yellowpages-uae.com/a-one-fire-fighting-and-safety-equipments-129803</t>
  </si>
  <si>
    <t>UAE0999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</si>
</sst>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charset val="178"/>
      <scheme val="minor"/>
    </font>
    <font>
      <sz val="18"/>
      <color theme="3"/>
      <name val="Times New Roman"/>
      <family val="2"/>
      <charset val="178"/>
      <scheme val="major"/>
    </font>
    <font>
      <b/>
      <sz val="15"/>
      <color theme="3"/>
      <name val="Arial"/>
      <family val="2"/>
      <charset val="178"/>
      <scheme val="minor"/>
    </font>
    <font>
      <b/>
      <sz val="13"/>
      <color theme="3"/>
      <name val="Arial"/>
      <family val="2"/>
      <charset val="178"/>
      <scheme val="minor"/>
    </font>
    <font>
      <b/>
      <sz val="11"/>
      <color theme="3"/>
      <name val="Arial"/>
      <family val="2"/>
      <charset val="178"/>
      <scheme val="minor"/>
    </font>
    <font>
      <sz val="11"/>
      <color rgb="FF006100"/>
      <name val="Arial"/>
      <family val="2"/>
      <charset val="178"/>
      <scheme val="minor"/>
    </font>
    <font>
      <sz val="11"/>
      <color rgb="FF9C0006"/>
      <name val="Arial"/>
      <family val="2"/>
      <charset val="178"/>
      <scheme val="minor"/>
    </font>
    <font>
      <sz val="11"/>
      <color rgb="FF9C5700"/>
      <name val="Arial"/>
      <family val="2"/>
      <charset val="178"/>
      <scheme val="minor"/>
    </font>
    <font>
      <sz val="11"/>
      <color rgb="FF3F3F76"/>
      <name val="Arial"/>
      <family val="2"/>
      <charset val="178"/>
      <scheme val="minor"/>
    </font>
    <font>
      <b/>
      <sz val="11"/>
      <color rgb="FF3F3F3F"/>
      <name val="Arial"/>
      <family val="2"/>
      <charset val="178"/>
      <scheme val="minor"/>
    </font>
    <font>
      <b/>
      <sz val="11"/>
      <color rgb="FFFA7D00"/>
      <name val="Arial"/>
      <family val="2"/>
      <charset val="178"/>
      <scheme val="minor"/>
    </font>
    <font>
      <sz val="11"/>
      <color rgb="FFFA7D00"/>
      <name val="Arial"/>
      <family val="2"/>
      <charset val="178"/>
      <scheme val="minor"/>
    </font>
    <font>
      <b/>
      <sz val="11"/>
      <color theme="0"/>
      <name val="Arial"/>
      <family val="2"/>
      <charset val="178"/>
      <scheme val="minor"/>
    </font>
    <font>
      <sz val="11"/>
      <color rgb="FFFF0000"/>
      <name val="Arial"/>
      <family val="2"/>
      <charset val="178"/>
      <scheme val="minor"/>
    </font>
    <font>
      <i/>
      <sz val="11"/>
      <color rgb="FF7F7F7F"/>
      <name val="Arial"/>
      <family val="2"/>
      <charset val="178"/>
      <scheme val="minor"/>
    </font>
    <font>
      <b/>
      <sz val="11"/>
      <color theme="1"/>
      <name val="Arial"/>
      <family val="2"/>
      <charset val="178"/>
      <scheme val="minor"/>
    </font>
    <font>
      <sz val="11"/>
      <color theme="0"/>
      <name val="Arial"/>
      <family val="2"/>
      <charset val="17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9">
    <dxf>
      <alignment vertical="center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8EA0415-EE61-4637-BE7F-4FD36D2646DA}" name="T_ZabayenArkamMobileFaqat" displayName="T_ZabayenArkamMobileFaqat" ref="A1:K278" totalsRowShown="0" headerRowDxfId="0">
  <autoFilter ref="A1:K278" xr:uid="{F8EA0415-EE61-4637-BE7F-4FD36D2646DA}"/>
  <tableColumns count="11">
    <tableColumn id="1" xr3:uid="{DA155F9C-E424-4FF5-BED8-DE71C8406ADC}" name="date" dataDxfId="5"/>
    <tableColumn id="2" xr3:uid="{4E207067-7EB2-4436-A765-3AC93A2D4379}" name="lead_name" dataDxfId="4"/>
    <tableColumn id="3" xr3:uid="{A34DA398-1F66-48CC-8397-246A4532649C}" name="business" dataDxfId="3"/>
    <tableColumn id="4" xr3:uid="{2D353B2D-A48D-4B83-B62D-DC98318F2D94}" name="area" dataDxfId="1"/>
    <tableColumn id="5" xr3:uid="{A728723B-EB62-4C03-A59B-B99EFAD38C9F}" name="phone_or_link" dataDxfId="2"/>
    <tableColumn id="6" xr3:uid="{0FF5D906-0C76-4635-BBB5-1CC76AD3D384}" name="channel" dataDxfId="7"/>
    <tableColumn id="7" xr3:uid="{DB58CB44-1FA1-4627-837C-79A710711517}" name="status" dataDxfId="6"/>
    <tableColumn id="8" xr3:uid="{62F36B96-C116-4FCB-ADAA-7A7FC6D0F2DF}" name="next_action"/>
    <tableColumn id="9" xr3:uid="{052C6F37-F468-415D-B93B-C80F989A031F}" name="next_date" dataDxfId="8"/>
    <tableColumn id="10" xr3:uid="{C4BB167B-5C36-4FB4-B347-091A387B95A2}" name="notes"/>
    <tableColumn id="11" xr3:uid="{BE12E271-FDA5-4C13-BA55-66C251A8A009}" name="lead_id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BFD18-158B-474C-B2E5-A94D4319A4EF}">
  <dimension ref="A1:K278"/>
  <sheetViews>
    <sheetView tabSelected="1" workbookViewId="0"/>
  </sheetViews>
  <sheetFormatPr defaultRowHeight="13.8" x14ac:dyDescent="0.25"/>
  <cols>
    <col min="1" max="1" width="10.09765625" style="2" bestFit="1" customWidth="1"/>
    <col min="2" max="3" width="67" style="5" bestFit="1" customWidth="1"/>
    <col min="4" max="4" width="13.69921875" style="5" bestFit="1" customWidth="1"/>
    <col min="5" max="5" width="17.3984375" style="2" bestFit="1" customWidth="1"/>
    <col min="6" max="6" width="11.796875" style="2" bestFit="1" customWidth="1"/>
    <col min="7" max="7" width="10.19921875" style="2" bestFit="1" customWidth="1"/>
    <col min="8" max="8" width="30.796875" bestFit="1" customWidth="1"/>
    <col min="9" max="9" width="11.59765625" bestFit="1" customWidth="1"/>
    <col min="10" max="10" width="128.19921875" bestFit="1" customWidth="1"/>
    <col min="11" max="11" width="9.19921875" bestFit="1" customWidth="1"/>
  </cols>
  <sheetData>
    <row r="1" spans="1:11" s="8" customFormat="1" ht="25.05" customHeight="1" x14ac:dyDescent="0.25">
      <c r="A1" s="6" t="s">
        <v>0</v>
      </c>
      <c r="B1" s="7" t="s">
        <v>1</v>
      </c>
      <c r="C1" s="7" t="s">
        <v>2</v>
      </c>
      <c r="D1" s="7" t="s">
        <v>3</v>
      </c>
      <c r="E1" s="6" t="s">
        <v>4</v>
      </c>
      <c r="F1" s="6" t="s">
        <v>5</v>
      </c>
      <c r="G1" s="6" t="s">
        <v>6</v>
      </c>
      <c r="H1" s="8" t="s">
        <v>7</v>
      </c>
      <c r="I1" s="8" t="s">
        <v>8</v>
      </c>
      <c r="J1" s="8" t="s">
        <v>9</v>
      </c>
      <c r="K1" s="8" t="s">
        <v>10</v>
      </c>
    </row>
    <row r="2" spans="1:11" x14ac:dyDescent="0.25">
      <c r="A2" s="3">
        <v>46086</v>
      </c>
      <c r="B2" s="5" t="s">
        <v>11</v>
      </c>
      <c r="C2" s="5" t="s">
        <v>11</v>
      </c>
      <c r="D2" s="5" t="s">
        <v>12</v>
      </c>
      <c r="E2" s="4" t="str">
        <f>"00971502646604"</f>
        <v>00971502646604</v>
      </c>
      <c r="F2" s="2" t="s">
        <v>13</v>
      </c>
      <c r="G2" s="2" t="s">
        <v>14</v>
      </c>
      <c r="H2" t="s">
        <v>15</v>
      </c>
      <c r="I2" s="1">
        <v>46086</v>
      </c>
      <c r="J2" t="s">
        <v>16</v>
      </c>
      <c r="K2" t="s">
        <v>17</v>
      </c>
    </row>
    <row r="3" spans="1:11" x14ac:dyDescent="0.25">
      <c r="A3" s="3">
        <v>46086</v>
      </c>
      <c r="B3" s="5" t="s">
        <v>11</v>
      </c>
      <c r="C3" s="5" t="s">
        <v>11</v>
      </c>
      <c r="D3" s="5" t="s">
        <v>12</v>
      </c>
      <c r="E3" s="4" t="str">
        <f>"00971508188454"</f>
        <v>00971508188454</v>
      </c>
      <c r="F3" s="2" t="s">
        <v>13</v>
      </c>
      <c r="G3" s="2" t="s">
        <v>14</v>
      </c>
      <c r="H3" t="s">
        <v>15</v>
      </c>
      <c r="I3" s="1">
        <v>46086</v>
      </c>
      <c r="J3" t="s">
        <v>16</v>
      </c>
      <c r="K3" t="s">
        <v>18</v>
      </c>
    </row>
    <row r="4" spans="1:11" x14ac:dyDescent="0.25">
      <c r="A4" s="3">
        <v>46086</v>
      </c>
      <c r="B4" s="5" t="s">
        <v>19</v>
      </c>
      <c r="C4" s="5" t="s">
        <v>19</v>
      </c>
      <c r="D4" s="5" t="s">
        <v>12</v>
      </c>
      <c r="E4" s="4" t="str">
        <f>"00971542886930"</f>
        <v>00971542886930</v>
      </c>
      <c r="F4" s="2" t="s">
        <v>13</v>
      </c>
      <c r="G4" s="2" t="s">
        <v>14</v>
      </c>
      <c r="H4" t="s">
        <v>15</v>
      </c>
      <c r="I4" s="1">
        <v>46086</v>
      </c>
      <c r="J4" t="s">
        <v>20</v>
      </c>
      <c r="K4" t="s">
        <v>21</v>
      </c>
    </row>
    <row r="5" spans="1:11" x14ac:dyDescent="0.25">
      <c r="A5" s="3">
        <v>46086</v>
      </c>
      <c r="B5" s="5" t="s">
        <v>22</v>
      </c>
      <c r="C5" s="5" t="s">
        <v>22</v>
      </c>
      <c r="D5" s="5" t="s">
        <v>12</v>
      </c>
      <c r="E5" s="4" t="str">
        <f>"00971506570565"</f>
        <v>00971506570565</v>
      </c>
      <c r="F5" s="2" t="s">
        <v>13</v>
      </c>
      <c r="G5" s="2" t="s">
        <v>14</v>
      </c>
      <c r="H5" t="s">
        <v>15</v>
      </c>
      <c r="I5" s="1">
        <v>46086</v>
      </c>
      <c r="J5" t="s">
        <v>23</v>
      </c>
      <c r="K5" t="s">
        <v>24</v>
      </c>
    </row>
    <row r="6" spans="1:11" x14ac:dyDescent="0.25">
      <c r="A6" s="3">
        <v>46086</v>
      </c>
      <c r="B6" s="5" t="s">
        <v>22</v>
      </c>
      <c r="C6" s="5" t="s">
        <v>22</v>
      </c>
      <c r="D6" s="5" t="s">
        <v>12</v>
      </c>
      <c r="E6" s="4" t="str">
        <f>"00971508278384"</f>
        <v>00971508278384</v>
      </c>
      <c r="F6" s="2" t="s">
        <v>13</v>
      </c>
      <c r="G6" s="2" t="s">
        <v>14</v>
      </c>
      <c r="H6" t="s">
        <v>15</v>
      </c>
      <c r="I6" s="1">
        <v>46086</v>
      </c>
      <c r="J6" t="s">
        <v>23</v>
      </c>
      <c r="K6" t="s">
        <v>25</v>
      </c>
    </row>
    <row r="7" spans="1:11" x14ac:dyDescent="0.25">
      <c r="A7" s="3">
        <v>46086</v>
      </c>
      <c r="B7" s="5" t="s">
        <v>26</v>
      </c>
      <c r="C7" s="5" t="s">
        <v>26</v>
      </c>
      <c r="D7" s="5" t="s">
        <v>12</v>
      </c>
      <c r="E7" s="4" t="str">
        <f>"00971528662223"</f>
        <v>00971528662223</v>
      </c>
      <c r="F7" s="2" t="s">
        <v>13</v>
      </c>
      <c r="G7" s="2" t="s">
        <v>14</v>
      </c>
      <c r="H7" t="s">
        <v>15</v>
      </c>
      <c r="I7" s="1">
        <v>46086</v>
      </c>
      <c r="J7" t="s">
        <v>27</v>
      </c>
      <c r="K7" t="s">
        <v>28</v>
      </c>
    </row>
    <row r="8" spans="1:11" x14ac:dyDescent="0.25">
      <c r="A8" s="3">
        <v>46086</v>
      </c>
      <c r="B8" s="5" t="s">
        <v>29</v>
      </c>
      <c r="C8" s="5" t="s">
        <v>29</v>
      </c>
      <c r="D8" s="5" t="s">
        <v>12</v>
      </c>
      <c r="E8" s="4" t="str">
        <f>"00971564014525"</f>
        <v>00971564014525</v>
      </c>
      <c r="F8" s="2" t="s">
        <v>13</v>
      </c>
      <c r="G8" s="2" t="s">
        <v>14</v>
      </c>
      <c r="H8" t="s">
        <v>15</v>
      </c>
      <c r="I8" s="1">
        <v>46086</v>
      </c>
      <c r="J8" t="s">
        <v>30</v>
      </c>
      <c r="K8" t="s">
        <v>31</v>
      </c>
    </row>
    <row r="9" spans="1:11" x14ac:dyDescent="0.25">
      <c r="A9" s="3">
        <v>46086</v>
      </c>
      <c r="B9" s="5" t="s">
        <v>29</v>
      </c>
      <c r="C9" s="5" t="s">
        <v>29</v>
      </c>
      <c r="D9" s="5" t="s">
        <v>12</v>
      </c>
      <c r="E9" s="4" t="str">
        <f>"00971564065176"</f>
        <v>00971564065176</v>
      </c>
      <c r="F9" s="2" t="s">
        <v>13</v>
      </c>
      <c r="G9" s="2" t="s">
        <v>14</v>
      </c>
      <c r="H9" t="s">
        <v>15</v>
      </c>
      <c r="I9" s="1">
        <v>46086</v>
      </c>
      <c r="J9" t="s">
        <v>30</v>
      </c>
      <c r="K9" t="s">
        <v>32</v>
      </c>
    </row>
    <row r="10" spans="1:11" x14ac:dyDescent="0.25">
      <c r="A10" s="3">
        <v>46086</v>
      </c>
      <c r="B10" s="5" t="s">
        <v>33</v>
      </c>
      <c r="C10" s="5" t="s">
        <v>33</v>
      </c>
      <c r="D10" s="5" t="s">
        <v>12</v>
      </c>
      <c r="E10" s="4" t="str">
        <f>"00971529102069"</f>
        <v>00971529102069</v>
      </c>
      <c r="F10" s="2" t="s">
        <v>13</v>
      </c>
      <c r="G10" s="2" t="s">
        <v>14</v>
      </c>
      <c r="H10" t="s">
        <v>15</v>
      </c>
      <c r="I10" s="1">
        <v>46086</v>
      </c>
      <c r="J10" t="s">
        <v>34</v>
      </c>
      <c r="K10" t="s">
        <v>35</v>
      </c>
    </row>
    <row r="11" spans="1:11" x14ac:dyDescent="0.25">
      <c r="A11" s="3">
        <v>46086</v>
      </c>
      <c r="B11" s="5" t="s">
        <v>36</v>
      </c>
      <c r="C11" s="5" t="s">
        <v>36</v>
      </c>
      <c r="D11" s="5" t="s">
        <v>12</v>
      </c>
      <c r="E11" s="4" t="str">
        <f>"00971558921193"</f>
        <v>00971558921193</v>
      </c>
      <c r="F11" s="2" t="s">
        <v>13</v>
      </c>
      <c r="G11" s="2" t="s">
        <v>14</v>
      </c>
      <c r="H11" t="s">
        <v>15</v>
      </c>
      <c r="I11" s="1">
        <v>46086</v>
      </c>
      <c r="J11" t="s">
        <v>37</v>
      </c>
      <c r="K11" t="s">
        <v>38</v>
      </c>
    </row>
    <row r="12" spans="1:11" x14ac:dyDescent="0.25">
      <c r="A12" s="3">
        <v>46086</v>
      </c>
      <c r="B12" s="5" t="s">
        <v>39</v>
      </c>
      <c r="C12" s="5" t="s">
        <v>39</v>
      </c>
      <c r="D12" s="5" t="s">
        <v>12</v>
      </c>
      <c r="E12" s="4" t="str">
        <f>"00971554753223"</f>
        <v>00971554753223</v>
      </c>
      <c r="F12" s="2" t="s">
        <v>13</v>
      </c>
      <c r="G12" s="2" t="s">
        <v>14</v>
      </c>
      <c r="H12" t="s">
        <v>15</v>
      </c>
      <c r="I12" s="1">
        <v>46086</v>
      </c>
      <c r="J12" t="s">
        <v>40</v>
      </c>
      <c r="K12" t="s">
        <v>41</v>
      </c>
    </row>
    <row r="13" spans="1:11" x14ac:dyDescent="0.25">
      <c r="A13" s="3">
        <v>46086</v>
      </c>
      <c r="B13" s="5" t="s">
        <v>39</v>
      </c>
      <c r="C13" s="5" t="s">
        <v>39</v>
      </c>
      <c r="D13" s="5" t="s">
        <v>12</v>
      </c>
      <c r="E13" s="4" t="str">
        <f>"00971556066521"</f>
        <v>00971556066521</v>
      </c>
      <c r="F13" s="2" t="s">
        <v>13</v>
      </c>
      <c r="G13" s="2" t="s">
        <v>14</v>
      </c>
      <c r="H13" t="s">
        <v>15</v>
      </c>
      <c r="I13" s="1">
        <v>46086</v>
      </c>
      <c r="J13" t="s">
        <v>40</v>
      </c>
      <c r="K13" t="s">
        <v>42</v>
      </c>
    </row>
    <row r="14" spans="1:11" x14ac:dyDescent="0.25">
      <c r="A14" s="3">
        <v>46086</v>
      </c>
      <c r="B14" s="5" t="s">
        <v>43</v>
      </c>
      <c r="C14" s="5" t="s">
        <v>43</v>
      </c>
      <c r="D14" s="5" t="s">
        <v>12</v>
      </c>
      <c r="E14" s="4" t="str">
        <f>"00971506155869"</f>
        <v>00971506155869</v>
      </c>
      <c r="F14" s="2" t="s">
        <v>13</v>
      </c>
      <c r="G14" s="2" t="s">
        <v>14</v>
      </c>
      <c r="H14" t="s">
        <v>15</v>
      </c>
      <c r="I14" s="1">
        <v>46086</v>
      </c>
      <c r="J14" t="s">
        <v>44</v>
      </c>
      <c r="K14" t="s">
        <v>45</v>
      </c>
    </row>
    <row r="15" spans="1:11" x14ac:dyDescent="0.25">
      <c r="A15" s="3">
        <v>46086</v>
      </c>
      <c r="B15" s="5" t="s">
        <v>46</v>
      </c>
      <c r="C15" s="5" t="s">
        <v>46</v>
      </c>
      <c r="D15" s="5" t="s">
        <v>12</v>
      </c>
      <c r="E15" s="4" t="str">
        <f>"00971509096003"</f>
        <v>00971509096003</v>
      </c>
      <c r="F15" s="2" t="s">
        <v>13</v>
      </c>
      <c r="G15" s="2" t="s">
        <v>14</v>
      </c>
      <c r="H15" t="s">
        <v>15</v>
      </c>
      <c r="I15" s="1">
        <v>46086</v>
      </c>
      <c r="J15" t="s">
        <v>47</v>
      </c>
      <c r="K15" t="s">
        <v>48</v>
      </c>
    </row>
    <row r="16" spans="1:11" x14ac:dyDescent="0.25">
      <c r="A16" s="3">
        <v>46086</v>
      </c>
      <c r="B16" s="5" t="s">
        <v>49</v>
      </c>
      <c r="C16" s="5" t="s">
        <v>49</v>
      </c>
      <c r="D16" s="5" t="s">
        <v>12</v>
      </c>
      <c r="E16" s="4" t="str">
        <f>"00971555995576"</f>
        <v>00971555995576</v>
      </c>
      <c r="F16" s="2" t="s">
        <v>13</v>
      </c>
      <c r="G16" s="2" t="s">
        <v>14</v>
      </c>
      <c r="H16" t="s">
        <v>15</v>
      </c>
      <c r="I16" s="1">
        <v>46086</v>
      </c>
      <c r="J16" t="s">
        <v>50</v>
      </c>
      <c r="K16" t="s">
        <v>51</v>
      </c>
    </row>
    <row r="17" spans="1:11" x14ac:dyDescent="0.25">
      <c r="A17" s="3">
        <v>46086</v>
      </c>
      <c r="B17" s="5" t="s">
        <v>52</v>
      </c>
      <c r="C17" s="5" t="s">
        <v>52</v>
      </c>
      <c r="D17" s="5" t="s">
        <v>12</v>
      </c>
      <c r="E17" s="4" t="str">
        <f>"00971563808834"</f>
        <v>00971563808834</v>
      </c>
      <c r="F17" s="2" t="s">
        <v>13</v>
      </c>
      <c r="G17" s="2" t="s">
        <v>14</v>
      </c>
      <c r="H17" t="s">
        <v>15</v>
      </c>
      <c r="I17" s="1">
        <v>46086</v>
      </c>
      <c r="J17" t="s">
        <v>53</v>
      </c>
      <c r="K17" t="s">
        <v>54</v>
      </c>
    </row>
    <row r="18" spans="1:11" x14ac:dyDescent="0.25">
      <c r="A18" s="3">
        <v>46086</v>
      </c>
      <c r="B18" s="5" t="s">
        <v>52</v>
      </c>
      <c r="C18" s="5" t="s">
        <v>52</v>
      </c>
      <c r="D18" s="5" t="s">
        <v>12</v>
      </c>
      <c r="E18" s="4" t="str">
        <f>"00971569420408"</f>
        <v>00971569420408</v>
      </c>
      <c r="F18" s="2" t="s">
        <v>13</v>
      </c>
      <c r="G18" s="2" t="s">
        <v>14</v>
      </c>
      <c r="H18" t="s">
        <v>15</v>
      </c>
      <c r="I18" s="1">
        <v>46086</v>
      </c>
      <c r="J18" t="s">
        <v>53</v>
      </c>
      <c r="K18" t="s">
        <v>55</v>
      </c>
    </row>
    <row r="19" spans="1:11" x14ac:dyDescent="0.25">
      <c r="A19" s="3">
        <v>46086</v>
      </c>
      <c r="B19" s="5" t="s">
        <v>56</v>
      </c>
      <c r="C19" s="5" t="s">
        <v>56</v>
      </c>
      <c r="D19" s="5" t="s">
        <v>12</v>
      </c>
      <c r="E19" s="4" t="str">
        <f>"00971507914947"</f>
        <v>00971507914947</v>
      </c>
      <c r="F19" s="2" t="s">
        <v>13</v>
      </c>
      <c r="G19" s="2" t="s">
        <v>14</v>
      </c>
      <c r="H19" t="s">
        <v>15</v>
      </c>
      <c r="I19" s="1">
        <v>46086</v>
      </c>
      <c r="J19" t="s">
        <v>57</v>
      </c>
      <c r="K19" t="s">
        <v>58</v>
      </c>
    </row>
    <row r="20" spans="1:11" x14ac:dyDescent="0.25">
      <c r="A20" s="3">
        <v>46086</v>
      </c>
      <c r="B20" s="5" t="s">
        <v>59</v>
      </c>
      <c r="C20" s="5" t="s">
        <v>59</v>
      </c>
      <c r="D20" s="5" t="s">
        <v>12</v>
      </c>
      <c r="E20" s="4" t="str">
        <f>"00971529524943"</f>
        <v>00971529524943</v>
      </c>
      <c r="F20" s="2" t="s">
        <v>13</v>
      </c>
      <c r="G20" s="2" t="s">
        <v>14</v>
      </c>
      <c r="H20" t="s">
        <v>15</v>
      </c>
      <c r="I20" s="1">
        <v>46086</v>
      </c>
      <c r="J20" t="s">
        <v>60</v>
      </c>
      <c r="K20" t="s">
        <v>61</v>
      </c>
    </row>
    <row r="21" spans="1:11" x14ac:dyDescent="0.25">
      <c r="A21" s="3">
        <v>46086</v>
      </c>
      <c r="B21" s="5" t="s">
        <v>59</v>
      </c>
      <c r="C21" s="5" t="s">
        <v>59</v>
      </c>
      <c r="D21" s="5" t="s">
        <v>12</v>
      </c>
      <c r="E21" s="4" t="str">
        <f>"00971555260637"</f>
        <v>00971555260637</v>
      </c>
      <c r="F21" s="2" t="s">
        <v>13</v>
      </c>
      <c r="G21" s="2" t="s">
        <v>14</v>
      </c>
      <c r="H21" t="s">
        <v>15</v>
      </c>
      <c r="I21" s="1">
        <v>46086</v>
      </c>
      <c r="J21" t="s">
        <v>60</v>
      </c>
      <c r="K21" t="s">
        <v>62</v>
      </c>
    </row>
    <row r="22" spans="1:11" x14ac:dyDescent="0.25">
      <c r="A22" s="3">
        <v>46086</v>
      </c>
      <c r="B22" s="5" t="s">
        <v>63</v>
      </c>
      <c r="C22" s="5" t="s">
        <v>63</v>
      </c>
      <c r="D22" s="5" t="s">
        <v>12</v>
      </c>
      <c r="E22" s="4" t="str">
        <f>"00971501215342"</f>
        <v>00971501215342</v>
      </c>
      <c r="F22" s="2" t="s">
        <v>13</v>
      </c>
      <c r="G22" s="2" t="s">
        <v>14</v>
      </c>
      <c r="H22" t="s">
        <v>15</v>
      </c>
      <c r="I22" s="1">
        <v>46086</v>
      </c>
      <c r="J22" t="s">
        <v>64</v>
      </c>
      <c r="K22" t="s">
        <v>65</v>
      </c>
    </row>
    <row r="23" spans="1:11" x14ac:dyDescent="0.25">
      <c r="A23" s="3">
        <v>46086</v>
      </c>
      <c r="B23" s="5" t="s">
        <v>66</v>
      </c>
      <c r="C23" s="5" t="s">
        <v>66</v>
      </c>
      <c r="D23" s="5" t="s">
        <v>12</v>
      </c>
      <c r="E23" s="4" t="str">
        <f>"00971503317380"</f>
        <v>00971503317380</v>
      </c>
      <c r="F23" s="2" t="s">
        <v>13</v>
      </c>
      <c r="G23" s="2" t="s">
        <v>14</v>
      </c>
      <c r="H23" t="s">
        <v>15</v>
      </c>
      <c r="I23" s="1">
        <v>46086</v>
      </c>
      <c r="J23" t="s">
        <v>67</v>
      </c>
      <c r="K23" t="s">
        <v>68</v>
      </c>
    </row>
    <row r="24" spans="1:11" x14ac:dyDescent="0.25">
      <c r="A24" s="3">
        <v>46086</v>
      </c>
      <c r="B24" s="5" t="s">
        <v>69</v>
      </c>
      <c r="C24" s="5" t="s">
        <v>69</v>
      </c>
      <c r="D24" s="5" t="s">
        <v>12</v>
      </c>
      <c r="E24" s="4" t="str">
        <f>"00971506168641"</f>
        <v>00971506168641</v>
      </c>
      <c r="F24" s="2" t="s">
        <v>13</v>
      </c>
      <c r="G24" s="2" t="s">
        <v>14</v>
      </c>
      <c r="H24" t="s">
        <v>15</v>
      </c>
      <c r="I24" s="1">
        <v>46086</v>
      </c>
      <c r="J24" t="s">
        <v>70</v>
      </c>
      <c r="K24" t="s">
        <v>71</v>
      </c>
    </row>
    <row r="25" spans="1:11" x14ac:dyDescent="0.25">
      <c r="A25" s="3">
        <v>46086</v>
      </c>
      <c r="B25" s="5" t="s">
        <v>72</v>
      </c>
      <c r="C25" s="5" t="s">
        <v>72</v>
      </c>
      <c r="D25" s="5" t="s">
        <v>12</v>
      </c>
      <c r="E25" s="4" t="str">
        <f>"00971544067267"</f>
        <v>00971544067267</v>
      </c>
      <c r="F25" s="2" t="s">
        <v>13</v>
      </c>
      <c r="G25" s="2" t="s">
        <v>14</v>
      </c>
      <c r="H25" t="s">
        <v>15</v>
      </c>
      <c r="I25" s="1">
        <v>46086</v>
      </c>
      <c r="J25" t="s">
        <v>73</v>
      </c>
      <c r="K25" t="s">
        <v>74</v>
      </c>
    </row>
    <row r="26" spans="1:11" x14ac:dyDescent="0.25">
      <c r="A26" s="3">
        <v>46086</v>
      </c>
      <c r="B26" s="5" t="s">
        <v>75</v>
      </c>
      <c r="C26" s="5" t="s">
        <v>75</v>
      </c>
      <c r="D26" s="5" t="s">
        <v>12</v>
      </c>
      <c r="E26" s="4" t="str">
        <f>"00971506501359"</f>
        <v>00971506501359</v>
      </c>
      <c r="F26" s="2" t="s">
        <v>13</v>
      </c>
      <c r="G26" s="2" t="s">
        <v>14</v>
      </c>
      <c r="H26" t="s">
        <v>15</v>
      </c>
      <c r="I26" s="1">
        <v>46086</v>
      </c>
      <c r="J26" t="s">
        <v>76</v>
      </c>
      <c r="K26" t="s">
        <v>77</v>
      </c>
    </row>
    <row r="27" spans="1:11" x14ac:dyDescent="0.25">
      <c r="A27" s="3">
        <v>46086</v>
      </c>
      <c r="B27" s="5" t="s">
        <v>78</v>
      </c>
      <c r="C27" s="5" t="s">
        <v>78</v>
      </c>
      <c r="D27" s="5" t="s">
        <v>12</v>
      </c>
      <c r="E27" s="4" t="str">
        <f>"00971544447870"</f>
        <v>00971544447870</v>
      </c>
      <c r="F27" s="2" t="s">
        <v>13</v>
      </c>
      <c r="G27" s="2" t="s">
        <v>14</v>
      </c>
      <c r="H27" t="s">
        <v>15</v>
      </c>
      <c r="I27" s="1">
        <v>46086</v>
      </c>
      <c r="J27" t="s">
        <v>79</v>
      </c>
      <c r="K27" t="s">
        <v>80</v>
      </c>
    </row>
    <row r="28" spans="1:11" x14ac:dyDescent="0.25">
      <c r="A28" s="3">
        <v>46086</v>
      </c>
      <c r="B28" s="5" t="s">
        <v>81</v>
      </c>
      <c r="C28" s="5" t="s">
        <v>81</v>
      </c>
      <c r="D28" s="5" t="s">
        <v>12</v>
      </c>
      <c r="E28" s="4" t="str">
        <f>"00971502818353"</f>
        <v>00971502818353</v>
      </c>
      <c r="F28" s="2" t="s">
        <v>13</v>
      </c>
      <c r="G28" s="2" t="s">
        <v>14</v>
      </c>
      <c r="H28" t="s">
        <v>15</v>
      </c>
      <c r="I28" s="1">
        <v>46086</v>
      </c>
      <c r="J28" t="s">
        <v>82</v>
      </c>
      <c r="K28" t="s">
        <v>83</v>
      </c>
    </row>
    <row r="29" spans="1:11" x14ac:dyDescent="0.25">
      <c r="A29" s="3">
        <v>46086</v>
      </c>
      <c r="B29" s="5" t="s">
        <v>84</v>
      </c>
      <c r="C29" s="5" t="s">
        <v>84</v>
      </c>
      <c r="D29" s="5" t="s">
        <v>12</v>
      </c>
      <c r="E29" s="4" t="str">
        <f>"00971506715214"</f>
        <v>00971506715214</v>
      </c>
      <c r="F29" s="2" t="s">
        <v>13</v>
      </c>
      <c r="G29" s="2" t="s">
        <v>14</v>
      </c>
      <c r="H29" t="s">
        <v>15</v>
      </c>
      <c r="I29" s="1">
        <v>46086</v>
      </c>
      <c r="J29" t="s">
        <v>85</v>
      </c>
      <c r="K29" t="s">
        <v>86</v>
      </c>
    </row>
    <row r="30" spans="1:11" x14ac:dyDescent="0.25">
      <c r="A30" s="3">
        <v>46086</v>
      </c>
      <c r="B30" s="5" t="s">
        <v>87</v>
      </c>
      <c r="C30" s="5" t="s">
        <v>87</v>
      </c>
      <c r="D30" s="5" t="s">
        <v>12</v>
      </c>
      <c r="E30" s="4" t="str">
        <f>"00971506722159"</f>
        <v>00971506722159</v>
      </c>
      <c r="F30" s="2" t="s">
        <v>13</v>
      </c>
      <c r="G30" s="2" t="s">
        <v>14</v>
      </c>
      <c r="H30" t="s">
        <v>15</v>
      </c>
      <c r="I30" s="1">
        <v>46086</v>
      </c>
      <c r="J30" t="s">
        <v>88</v>
      </c>
      <c r="K30" t="s">
        <v>89</v>
      </c>
    </row>
    <row r="31" spans="1:11" x14ac:dyDescent="0.25">
      <c r="A31" s="3">
        <v>46086</v>
      </c>
      <c r="B31" s="5" t="s">
        <v>90</v>
      </c>
      <c r="C31" s="5" t="s">
        <v>90</v>
      </c>
      <c r="D31" s="5" t="s">
        <v>12</v>
      </c>
      <c r="E31" s="4" t="str">
        <f>"00971555497097"</f>
        <v>00971555497097</v>
      </c>
      <c r="F31" s="2" t="s">
        <v>13</v>
      </c>
      <c r="G31" s="2" t="s">
        <v>14</v>
      </c>
      <c r="H31" t="s">
        <v>15</v>
      </c>
      <c r="I31" s="1">
        <v>46086</v>
      </c>
      <c r="J31" t="s">
        <v>91</v>
      </c>
      <c r="K31" t="s">
        <v>92</v>
      </c>
    </row>
    <row r="32" spans="1:11" x14ac:dyDescent="0.25">
      <c r="A32" s="3">
        <v>46086</v>
      </c>
      <c r="B32" s="5" t="s">
        <v>93</v>
      </c>
      <c r="C32" s="5" t="s">
        <v>93</v>
      </c>
      <c r="D32" s="5" t="s">
        <v>12</v>
      </c>
      <c r="E32" s="4" t="str">
        <f>"00971505822930"</f>
        <v>00971505822930</v>
      </c>
      <c r="F32" s="2" t="s">
        <v>13</v>
      </c>
      <c r="G32" s="2" t="s">
        <v>14</v>
      </c>
      <c r="H32" t="s">
        <v>15</v>
      </c>
      <c r="I32" s="1">
        <v>46086</v>
      </c>
      <c r="J32" t="s">
        <v>94</v>
      </c>
      <c r="K32" t="s">
        <v>95</v>
      </c>
    </row>
    <row r="33" spans="1:11" x14ac:dyDescent="0.25">
      <c r="A33" s="3">
        <v>46086</v>
      </c>
      <c r="B33" s="5" t="s">
        <v>96</v>
      </c>
      <c r="C33" s="5" t="s">
        <v>96</v>
      </c>
      <c r="D33" s="5" t="s">
        <v>12</v>
      </c>
      <c r="E33" s="4" t="str">
        <f>"00971505284639"</f>
        <v>00971505284639</v>
      </c>
      <c r="F33" s="2" t="s">
        <v>13</v>
      </c>
      <c r="G33" s="2" t="s">
        <v>14</v>
      </c>
      <c r="H33" t="s">
        <v>15</v>
      </c>
      <c r="I33" s="1">
        <v>46086</v>
      </c>
      <c r="J33" t="s">
        <v>97</v>
      </c>
      <c r="K33" t="s">
        <v>98</v>
      </c>
    </row>
    <row r="34" spans="1:11" x14ac:dyDescent="0.25">
      <c r="A34" s="3">
        <v>46086</v>
      </c>
      <c r="B34" s="5" t="s">
        <v>99</v>
      </c>
      <c r="C34" s="5" t="s">
        <v>99</v>
      </c>
      <c r="D34" s="5" t="s">
        <v>12</v>
      </c>
      <c r="E34" s="4" t="str">
        <f>"00971506118030"</f>
        <v>00971506118030</v>
      </c>
      <c r="F34" s="2" t="s">
        <v>13</v>
      </c>
      <c r="G34" s="2" t="s">
        <v>14</v>
      </c>
      <c r="H34" t="s">
        <v>15</v>
      </c>
      <c r="I34" s="1">
        <v>46086</v>
      </c>
      <c r="J34" t="s">
        <v>100</v>
      </c>
      <c r="K34" t="s">
        <v>101</v>
      </c>
    </row>
    <row r="35" spans="1:11" x14ac:dyDescent="0.25">
      <c r="A35" s="3">
        <v>46086</v>
      </c>
      <c r="B35" s="5" t="s">
        <v>102</v>
      </c>
      <c r="C35" s="5" t="s">
        <v>102</v>
      </c>
      <c r="D35" s="5" t="s">
        <v>12</v>
      </c>
      <c r="E35" s="4" t="str">
        <f>"00971503308235"</f>
        <v>00971503308235</v>
      </c>
      <c r="F35" s="2" t="s">
        <v>13</v>
      </c>
      <c r="G35" s="2" t="s">
        <v>14</v>
      </c>
      <c r="H35" t="s">
        <v>15</v>
      </c>
      <c r="I35" s="1">
        <v>46086</v>
      </c>
      <c r="J35" t="s">
        <v>103</v>
      </c>
      <c r="K35" t="s">
        <v>104</v>
      </c>
    </row>
    <row r="36" spans="1:11" x14ac:dyDescent="0.25">
      <c r="A36" s="3">
        <v>46086</v>
      </c>
      <c r="B36" s="5" t="s">
        <v>105</v>
      </c>
      <c r="C36" s="5" t="s">
        <v>105</v>
      </c>
      <c r="D36" s="5" t="s">
        <v>106</v>
      </c>
      <c r="E36" s="4" t="str">
        <f>"00971561905190"</f>
        <v>00971561905190</v>
      </c>
      <c r="F36" s="2" t="s">
        <v>13</v>
      </c>
      <c r="G36" s="2" t="s">
        <v>14</v>
      </c>
      <c r="H36" t="s">
        <v>15</v>
      </c>
      <c r="I36" s="1">
        <v>46086</v>
      </c>
      <c r="J36" t="s">
        <v>107</v>
      </c>
      <c r="K36" t="s">
        <v>108</v>
      </c>
    </row>
    <row r="37" spans="1:11" x14ac:dyDescent="0.25">
      <c r="A37" s="3">
        <v>46086</v>
      </c>
      <c r="B37" s="5" t="s">
        <v>105</v>
      </c>
      <c r="C37" s="5" t="s">
        <v>105</v>
      </c>
      <c r="D37" s="5" t="s">
        <v>106</v>
      </c>
      <c r="E37" s="4" t="str">
        <f>"00971565340387"</f>
        <v>00971565340387</v>
      </c>
      <c r="F37" s="2" t="s">
        <v>13</v>
      </c>
      <c r="G37" s="2" t="s">
        <v>14</v>
      </c>
      <c r="H37" t="s">
        <v>15</v>
      </c>
      <c r="I37" s="1">
        <v>46086</v>
      </c>
      <c r="J37" t="s">
        <v>107</v>
      </c>
      <c r="K37" t="s">
        <v>109</v>
      </c>
    </row>
    <row r="38" spans="1:11" x14ac:dyDescent="0.25">
      <c r="A38" s="3">
        <v>46086</v>
      </c>
      <c r="B38" s="5" t="s">
        <v>110</v>
      </c>
      <c r="C38" s="5" t="s">
        <v>110</v>
      </c>
      <c r="D38" s="5" t="s">
        <v>106</v>
      </c>
      <c r="E38" s="4" t="str">
        <f>"00971581484477"</f>
        <v>00971581484477</v>
      </c>
      <c r="F38" s="2" t="s">
        <v>13</v>
      </c>
      <c r="G38" s="2" t="s">
        <v>14</v>
      </c>
      <c r="H38" t="s">
        <v>15</v>
      </c>
      <c r="I38" s="1">
        <v>46086</v>
      </c>
      <c r="J38" t="s">
        <v>111</v>
      </c>
      <c r="K38" t="s">
        <v>112</v>
      </c>
    </row>
    <row r="39" spans="1:11" x14ac:dyDescent="0.25">
      <c r="A39" s="3">
        <v>46086</v>
      </c>
      <c r="B39" s="5" t="s">
        <v>113</v>
      </c>
      <c r="C39" s="5" t="s">
        <v>113</v>
      </c>
      <c r="D39" s="5" t="s">
        <v>106</v>
      </c>
      <c r="E39" s="4" t="str">
        <f>"00971509418432"</f>
        <v>00971509418432</v>
      </c>
      <c r="F39" s="2" t="s">
        <v>13</v>
      </c>
      <c r="G39" s="2" t="s">
        <v>14</v>
      </c>
      <c r="H39" t="s">
        <v>15</v>
      </c>
      <c r="I39" s="1">
        <v>46086</v>
      </c>
      <c r="J39" t="s">
        <v>114</v>
      </c>
      <c r="K39" t="s">
        <v>115</v>
      </c>
    </row>
    <row r="40" spans="1:11" x14ac:dyDescent="0.25">
      <c r="A40" s="3">
        <v>46086</v>
      </c>
      <c r="B40" s="5" t="s">
        <v>113</v>
      </c>
      <c r="C40" s="5" t="s">
        <v>113</v>
      </c>
      <c r="D40" s="5" t="s">
        <v>106</v>
      </c>
      <c r="E40" s="4" t="str">
        <f>"00971556960957"</f>
        <v>00971556960957</v>
      </c>
      <c r="F40" s="2" t="s">
        <v>13</v>
      </c>
      <c r="G40" s="2" t="s">
        <v>14</v>
      </c>
      <c r="H40" t="s">
        <v>15</v>
      </c>
      <c r="I40" s="1">
        <v>46086</v>
      </c>
      <c r="J40" t="s">
        <v>114</v>
      </c>
      <c r="K40" t="s">
        <v>116</v>
      </c>
    </row>
    <row r="41" spans="1:11" x14ac:dyDescent="0.25">
      <c r="A41" s="3">
        <v>46086</v>
      </c>
      <c r="B41" s="5" t="s">
        <v>117</v>
      </c>
      <c r="C41" s="5" t="s">
        <v>117</v>
      </c>
      <c r="D41" s="5" t="s">
        <v>106</v>
      </c>
      <c r="E41" s="4" t="str">
        <f>"00971529692287"</f>
        <v>00971529692287</v>
      </c>
      <c r="F41" s="2" t="s">
        <v>13</v>
      </c>
      <c r="G41" s="2" t="s">
        <v>14</v>
      </c>
      <c r="H41" t="s">
        <v>15</v>
      </c>
      <c r="I41" s="1">
        <v>46086</v>
      </c>
      <c r="J41" t="s">
        <v>118</v>
      </c>
      <c r="K41" t="s">
        <v>119</v>
      </c>
    </row>
    <row r="42" spans="1:11" x14ac:dyDescent="0.25">
      <c r="A42" s="3">
        <v>46086</v>
      </c>
      <c r="B42" s="5" t="s">
        <v>120</v>
      </c>
      <c r="C42" s="5" t="s">
        <v>120</v>
      </c>
      <c r="D42" s="5" t="s">
        <v>106</v>
      </c>
      <c r="E42" s="4" t="str">
        <f>"00971506976719"</f>
        <v>00971506976719</v>
      </c>
      <c r="F42" s="2" t="s">
        <v>13</v>
      </c>
      <c r="G42" s="2" t="s">
        <v>14</v>
      </c>
      <c r="H42" t="s">
        <v>15</v>
      </c>
      <c r="I42" s="1">
        <v>46086</v>
      </c>
      <c r="J42" t="s">
        <v>121</v>
      </c>
      <c r="K42" t="s">
        <v>122</v>
      </c>
    </row>
    <row r="43" spans="1:11" x14ac:dyDescent="0.25">
      <c r="A43" s="3">
        <v>46086</v>
      </c>
      <c r="B43" s="5" t="s">
        <v>123</v>
      </c>
      <c r="C43" s="5" t="s">
        <v>123</v>
      </c>
      <c r="D43" s="5" t="s">
        <v>106</v>
      </c>
      <c r="E43" s="4" t="str">
        <f>"00971507169030"</f>
        <v>00971507169030</v>
      </c>
      <c r="F43" s="2" t="s">
        <v>13</v>
      </c>
      <c r="G43" s="2" t="s">
        <v>14</v>
      </c>
      <c r="H43" t="s">
        <v>15</v>
      </c>
      <c r="I43" s="1">
        <v>46086</v>
      </c>
      <c r="J43" t="s">
        <v>124</v>
      </c>
      <c r="K43" t="s">
        <v>125</v>
      </c>
    </row>
    <row r="44" spans="1:11" x14ac:dyDescent="0.25">
      <c r="A44" s="3">
        <v>46086</v>
      </c>
      <c r="B44" s="5" t="s">
        <v>126</v>
      </c>
      <c r="C44" s="5" t="s">
        <v>126</v>
      </c>
      <c r="D44" s="5" t="s">
        <v>106</v>
      </c>
      <c r="E44" s="4" t="str">
        <f>"00971525716677"</f>
        <v>00971525716677</v>
      </c>
      <c r="F44" s="2" t="s">
        <v>13</v>
      </c>
      <c r="G44" s="2" t="s">
        <v>14</v>
      </c>
      <c r="H44" t="s">
        <v>15</v>
      </c>
      <c r="I44" s="1">
        <v>46086</v>
      </c>
      <c r="J44" t="s">
        <v>127</v>
      </c>
      <c r="K44" t="s">
        <v>128</v>
      </c>
    </row>
    <row r="45" spans="1:11" x14ac:dyDescent="0.25">
      <c r="A45" s="3">
        <v>46086</v>
      </c>
      <c r="B45" s="5" t="s">
        <v>129</v>
      </c>
      <c r="C45" s="5" t="s">
        <v>129</v>
      </c>
      <c r="D45" s="5" t="s">
        <v>106</v>
      </c>
      <c r="E45" s="4" t="str">
        <f>"00971526565760"</f>
        <v>00971526565760</v>
      </c>
      <c r="F45" s="2" t="s">
        <v>13</v>
      </c>
      <c r="G45" s="2" t="s">
        <v>14</v>
      </c>
      <c r="H45" t="s">
        <v>15</v>
      </c>
      <c r="I45" s="1">
        <v>46086</v>
      </c>
      <c r="J45" t="s">
        <v>130</v>
      </c>
      <c r="K45" t="s">
        <v>131</v>
      </c>
    </row>
    <row r="46" spans="1:11" x14ac:dyDescent="0.25">
      <c r="A46" s="3">
        <v>46086</v>
      </c>
      <c r="B46" s="5" t="s">
        <v>132</v>
      </c>
      <c r="C46" s="5" t="s">
        <v>132</v>
      </c>
      <c r="D46" s="5" t="s">
        <v>106</v>
      </c>
      <c r="E46" s="4" t="str">
        <f>"00971551435222"</f>
        <v>00971551435222</v>
      </c>
      <c r="F46" s="2" t="s">
        <v>13</v>
      </c>
      <c r="G46" s="2" t="s">
        <v>14</v>
      </c>
      <c r="H46" t="s">
        <v>15</v>
      </c>
      <c r="I46" s="1">
        <v>46086</v>
      </c>
      <c r="J46" t="s">
        <v>133</v>
      </c>
      <c r="K46" t="s">
        <v>134</v>
      </c>
    </row>
    <row r="47" spans="1:11" x14ac:dyDescent="0.25">
      <c r="A47" s="3">
        <v>46086</v>
      </c>
      <c r="B47" s="5" t="s">
        <v>135</v>
      </c>
      <c r="C47" s="5" t="s">
        <v>135</v>
      </c>
      <c r="D47" s="5" t="s">
        <v>106</v>
      </c>
      <c r="E47" s="4" t="str">
        <f>"00971555674952"</f>
        <v>00971555674952</v>
      </c>
      <c r="F47" s="2" t="s">
        <v>13</v>
      </c>
      <c r="G47" s="2" t="s">
        <v>14</v>
      </c>
      <c r="H47" t="s">
        <v>15</v>
      </c>
      <c r="I47" s="1">
        <v>46086</v>
      </c>
      <c r="J47" t="s">
        <v>136</v>
      </c>
      <c r="K47" t="s">
        <v>137</v>
      </c>
    </row>
    <row r="48" spans="1:11" x14ac:dyDescent="0.25">
      <c r="A48" s="3">
        <v>46086</v>
      </c>
      <c r="B48" s="5" t="s">
        <v>138</v>
      </c>
      <c r="C48" s="5" t="s">
        <v>138</v>
      </c>
      <c r="D48" s="5" t="s">
        <v>106</v>
      </c>
      <c r="E48" s="4" t="str">
        <f>"00971552822655"</f>
        <v>00971552822655</v>
      </c>
      <c r="F48" s="2" t="s">
        <v>13</v>
      </c>
      <c r="G48" s="2" t="s">
        <v>14</v>
      </c>
      <c r="H48" t="s">
        <v>15</v>
      </c>
      <c r="I48" s="1">
        <v>46086</v>
      </c>
      <c r="J48" t="s">
        <v>139</v>
      </c>
      <c r="K48" t="s">
        <v>140</v>
      </c>
    </row>
    <row r="49" spans="1:11" x14ac:dyDescent="0.25">
      <c r="A49" s="3">
        <v>46086</v>
      </c>
      <c r="B49" s="5" t="s">
        <v>141</v>
      </c>
      <c r="C49" s="5" t="s">
        <v>141</v>
      </c>
      <c r="D49" s="5" t="s">
        <v>106</v>
      </c>
      <c r="E49" s="4" t="str">
        <f>"00971526904716"</f>
        <v>00971526904716</v>
      </c>
      <c r="F49" s="2" t="s">
        <v>13</v>
      </c>
      <c r="G49" s="2" t="s">
        <v>14</v>
      </c>
      <c r="H49" t="s">
        <v>15</v>
      </c>
      <c r="I49" s="1">
        <v>46086</v>
      </c>
      <c r="J49" t="s">
        <v>142</v>
      </c>
      <c r="K49" t="s">
        <v>143</v>
      </c>
    </row>
    <row r="50" spans="1:11" x14ac:dyDescent="0.25">
      <c r="A50" s="3">
        <v>46086</v>
      </c>
      <c r="B50" s="5" t="s">
        <v>144</v>
      </c>
      <c r="C50" s="5" t="s">
        <v>144</v>
      </c>
      <c r="D50" s="5" t="s">
        <v>106</v>
      </c>
      <c r="E50" s="4" t="str">
        <f>"00971523803022"</f>
        <v>00971523803022</v>
      </c>
      <c r="F50" s="2" t="s">
        <v>13</v>
      </c>
      <c r="G50" s="2" t="s">
        <v>14</v>
      </c>
      <c r="H50" t="s">
        <v>15</v>
      </c>
      <c r="I50" s="1">
        <v>46086</v>
      </c>
      <c r="J50" t="s">
        <v>145</v>
      </c>
      <c r="K50" t="s">
        <v>146</v>
      </c>
    </row>
    <row r="51" spans="1:11" x14ac:dyDescent="0.25">
      <c r="A51" s="3">
        <v>46086</v>
      </c>
      <c r="B51" s="5" t="s">
        <v>147</v>
      </c>
      <c r="C51" s="5" t="s">
        <v>147</v>
      </c>
      <c r="D51" s="5" t="s">
        <v>106</v>
      </c>
      <c r="E51" s="4" t="str">
        <f>"00971503065100"</f>
        <v>00971503065100</v>
      </c>
      <c r="F51" s="2" t="s">
        <v>13</v>
      </c>
      <c r="G51" s="2" t="s">
        <v>14</v>
      </c>
      <c r="H51" t="s">
        <v>15</v>
      </c>
      <c r="I51" s="1">
        <v>46086</v>
      </c>
      <c r="J51" t="s">
        <v>148</v>
      </c>
      <c r="K51" t="s">
        <v>149</v>
      </c>
    </row>
    <row r="52" spans="1:11" x14ac:dyDescent="0.25">
      <c r="A52" s="3">
        <v>46086</v>
      </c>
      <c r="B52" s="5" t="s">
        <v>150</v>
      </c>
      <c r="C52" s="5" t="s">
        <v>150</v>
      </c>
      <c r="D52" s="5" t="s">
        <v>106</v>
      </c>
      <c r="E52" s="4" t="str">
        <f>"00971543358211"</f>
        <v>00971543358211</v>
      </c>
      <c r="F52" s="2" t="s">
        <v>13</v>
      </c>
      <c r="G52" s="2" t="s">
        <v>14</v>
      </c>
      <c r="H52" t="s">
        <v>15</v>
      </c>
      <c r="I52" s="1">
        <v>46086</v>
      </c>
      <c r="J52" t="s">
        <v>151</v>
      </c>
      <c r="K52" t="s">
        <v>152</v>
      </c>
    </row>
    <row r="53" spans="1:11" x14ac:dyDescent="0.25">
      <c r="A53" s="3">
        <v>46086</v>
      </c>
      <c r="B53" s="5" t="s">
        <v>153</v>
      </c>
      <c r="C53" s="5" t="s">
        <v>153</v>
      </c>
      <c r="D53" s="5" t="s">
        <v>106</v>
      </c>
      <c r="E53" s="4" t="str">
        <f>"00971554914907"</f>
        <v>00971554914907</v>
      </c>
      <c r="F53" s="2" t="s">
        <v>13</v>
      </c>
      <c r="G53" s="2" t="s">
        <v>14</v>
      </c>
      <c r="H53" t="s">
        <v>15</v>
      </c>
      <c r="I53" s="1">
        <v>46086</v>
      </c>
      <c r="J53" t="s">
        <v>154</v>
      </c>
      <c r="K53" t="s">
        <v>155</v>
      </c>
    </row>
    <row r="54" spans="1:11" x14ac:dyDescent="0.25">
      <c r="A54" s="3">
        <v>46086</v>
      </c>
      <c r="B54" s="5" t="s">
        <v>153</v>
      </c>
      <c r="C54" s="5" t="s">
        <v>153</v>
      </c>
      <c r="D54" s="5" t="s">
        <v>106</v>
      </c>
      <c r="E54" s="4" t="str">
        <f>"00971559229505"</f>
        <v>00971559229505</v>
      </c>
      <c r="F54" s="2" t="s">
        <v>13</v>
      </c>
      <c r="G54" s="2" t="s">
        <v>14</v>
      </c>
      <c r="H54" t="s">
        <v>15</v>
      </c>
      <c r="I54" s="1">
        <v>46086</v>
      </c>
      <c r="J54" t="s">
        <v>154</v>
      </c>
      <c r="K54" t="s">
        <v>156</v>
      </c>
    </row>
    <row r="55" spans="1:11" x14ac:dyDescent="0.25">
      <c r="A55" s="3">
        <v>46086</v>
      </c>
      <c r="B55" s="5" t="s">
        <v>157</v>
      </c>
      <c r="C55" s="5" t="s">
        <v>157</v>
      </c>
      <c r="D55" s="5" t="s">
        <v>106</v>
      </c>
      <c r="E55" s="4" t="str">
        <f>"00971559615858"</f>
        <v>00971559615858</v>
      </c>
      <c r="F55" s="2" t="s">
        <v>13</v>
      </c>
      <c r="G55" s="2" t="s">
        <v>14</v>
      </c>
      <c r="H55" t="s">
        <v>15</v>
      </c>
      <c r="I55" s="1">
        <v>46086</v>
      </c>
      <c r="J55" t="s">
        <v>158</v>
      </c>
      <c r="K55" t="s">
        <v>159</v>
      </c>
    </row>
    <row r="56" spans="1:11" x14ac:dyDescent="0.25">
      <c r="A56" s="3">
        <v>46086</v>
      </c>
      <c r="B56" s="5" t="s">
        <v>160</v>
      </c>
      <c r="C56" s="5" t="s">
        <v>160</v>
      </c>
      <c r="D56" s="5" t="s">
        <v>106</v>
      </c>
      <c r="E56" s="4" t="str">
        <f>"00971562905954"</f>
        <v>00971562905954</v>
      </c>
      <c r="F56" s="2" t="s">
        <v>13</v>
      </c>
      <c r="G56" s="2" t="s">
        <v>14</v>
      </c>
      <c r="H56" t="s">
        <v>15</v>
      </c>
      <c r="I56" s="1">
        <v>46086</v>
      </c>
      <c r="J56" t="s">
        <v>161</v>
      </c>
      <c r="K56" t="s">
        <v>162</v>
      </c>
    </row>
    <row r="57" spans="1:11" x14ac:dyDescent="0.25">
      <c r="A57" s="3">
        <v>46086</v>
      </c>
      <c r="B57" s="5" t="s">
        <v>163</v>
      </c>
      <c r="C57" s="5" t="s">
        <v>163</v>
      </c>
      <c r="D57" s="5" t="s">
        <v>164</v>
      </c>
      <c r="E57" s="4" t="str">
        <f>"00971559468303"</f>
        <v>00971559468303</v>
      </c>
      <c r="F57" s="2" t="s">
        <v>13</v>
      </c>
      <c r="G57" s="2" t="s">
        <v>14</v>
      </c>
      <c r="H57" t="s">
        <v>15</v>
      </c>
      <c r="I57" s="1">
        <v>46086</v>
      </c>
      <c r="J57" t="s">
        <v>165</v>
      </c>
      <c r="K57" t="s">
        <v>166</v>
      </c>
    </row>
    <row r="58" spans="1:11" x14ac:dyDescent="0.25">
      <c r="A58" s="3">
        <v>46086</v>
      </c>
      <c r="B58" s="5" t="s">
        <v>167</v>
      </c>
      <c r="C58" s="5" t="s">
        <v>167</v>
      </c>
      <c r="D58" s="5" t="s">
        <v>164</v>
      </c>
      <c r="E58" s="4" t="str">
        <f>"00971544687636"</f>
        <v>00971544687636</v>
      </c>
      <c r="F58" s="2" t="s">
        <v>13</v>
      </c>
      <c r="G58" s="2" t="s">
        <v>14</v>
      </c>
      <c r="H58" t="s">
        <v>15</v>
      </c>
      <c r="I58" s="1">
        <v>46086</v>
      </c>
      <c r="J58" t="s">
        <v>168</v>
      </c>
      <c r="K58" t="s">
        <v>169</v>
      </c>
    </row>
    <row r="59" spans="1:11" x14ac:dyDescent="0.25">
      <c r="A59" s="3">
        <v>46086</v>
      </c>
      <c r="B59" s="5" t="s">
        <v>167</v>
      </c>
      <c r="C59" s="5" t="s">
        <v>167</v>
      </c>
      <c r="D59" s="5" t="s">
        <v>164</v>
      </c>
      <c r="E59" s="4" t="str">
        <f>"00971544687637"</f>
        <v>00971544687637</v>
      </c>
      <c r="F59" s="2" t="s">
        <v>13</v>
      </c>
      <c r="G59" s="2" t="s">
        <v>14</v>
      </c>
      <c r="H59" t="s">
        <v>15</v>
      </c>
      <c r="I59" s="1">
        <v>46086</v>
      </c>
      <c r="J59" t="s">
        <v>170</v>
      </c>
      <c r="K59" t="s">
        <v>171</v>
      </c>
    </row>
    <row r="60" spans="1:11" x14ac:dyDescent="0.25">
      <c r="A60" s="3">
        <v>46086</v>
      </c>
      <c r="B60" s="5" t="s">
        <v>172</v>
      </c>
      <c r="C60" s="5" t="s">
        <v>172</v>
      </c>
      <c r="D60" s="5" t="s">
        <v>164</v>
      </c>
      <c r="E60" s="4" t="str">
        <f>"00971585833769"</f>
        <v>00971585833769</v>
      </c>
      <c r="F60" s="2" t="s">
        <v>13</v>
      </c>
      <c r="G60" s="2" t="s">
        <v>14</v>
      </c>
      <c r="H60" t="s">
        <v>15</v>
      </c>
      <c r="I60" s="1">
        <v>46086</v>
      </c>
      <c r="J60" t="s">
        <v>173</v>
      </c>
      <c r="K60" t="s">
        <v>174</v>
      </c>
    </row>
    <row r="61" spans="1:11" x14ac:dyDescent="0.25">
      <c r="A61" s="3">
        <v>46086</v>
      </c>
      <c r="B61" s="5" t="s">
        <v>175</v>
      </c>
      <c r="C61" s="5" t="s">
        <v>175</v>
      </c>
      <c r="D61" s="5" t="s">
        <v>164</v>
      </c>
      <c r="E61" s="4" t="str">
        <f>"00971542520849"</f>
        <v>00971542520849</v>
      </c>
      <c r="F61" s="2" t="s">
        <v>13</v>
      </c>
      <c r="G61" s="2" t="s">
        <v>14</v>
      </c>
      <c r="H61" t="s">
        <v>15</v>
      </c>
      <c r="I61" s="1">
        <v>46086</v>
      </c>
      <c r="J61" t="s">
        <v>176</v>
      </c>
      <c r="K61" t="s">
        <v>177</v>
      </c>
    </row>
    <row r="62" spans="1:11" x14ac:dyDescent="0.25">
      <c r="A62" s="3">
        <v>46086</v>
      </c>
      <c r="B62" s="5" t="s">
        <v>178</v>
      </c>
      <c r="C62" s="5" t="s">
        <v>178</v>
      </c>
      <c r="D62" s="5" t="s">
        <v>164</v>
      </c>
      <c r="E62" s="4" t="str">
        <f>"00971551795638"</f>
        <v>00971551795638</v>
      </c>
      <c r="F62" s="2" t="s">
        <v>13</v>
      </c>
      <c r="G62" s="2" t="s">
        <v>14</v>
      </c>
      <c r="H62" t="s">
        <v>15</v>
      </c>
      <c r="I62" s="1">
        <v>46086</v>
      </c>
      <c r="J62" t="s">
        <v>179</v>
      </c>
      <c r="K62" t="s">
        <v>180</v>
      </c>
    </row>
    <row r="63" spans="1:11" x14ac:dyDescent="0.25">
      <c r="A63" s="3">
        <v>46086</v>
      </c>
      <c r="B63" s="5" t="s">
        <v>181</v>
      </c>
      <c r="C63" s="5" t="s">
        <v>181</v>
      </c>
      <c r="D63" s="5" t="s">
        <v>164</v>
      </c>
      <c r="E63" s="4" t="str">
        <f>"00971501180864"</f>
        <v>00971501180864</v>
      </c>
      <c r="F63" s="2" t="s">
        <v>13</v>
      </c>
      <c r="G63" s="2" t="s">
        <v>14</v>
      </c>
      <c r="H63" t="s">
        <v>15</v>
      </c>
      <c r="I63" s="1">
        <v>46086</v>
      </c>
      <c r="J63" t="s">
        <v>182</v>
      </c>
      <c r="K63" t="s">
        <v>183</v>
      </c>
    </row>
    <row r="64" spans="1:11" x14ac:dyDescent="0.25">
      <c r="A64" s="3">
        <v>46086</v>
      </c>
      <c r="B64" s="5" t="s">
        <v>184</v>
      </c>
      <c r="C64" s="5" t="s">
        <v>184</v>
      </c>
      <c r="D64" s="5" t="s">
        <v>164</v>
      </c>
      <c r="E64" s="4" t="str">
        <f>"00971555271595"</f>
        <v>00971555271595</v>
      </c>
      <c r="F64" s="2" t="s">
        <v>13</v>
      </c>
      <c r="G64" s="2" t="s">
        <v>14</v>
      </c>
      <c r="H64" t="s">
        <v>15</v>
      </c>
      <c r="I64" s="1">
        <v>46086</v>
      </c>
      <c r="J64" t="s">
        <v>185</v>
      </c>
      <c r="K64" t="s">
        <v>186</v>
      </c>
    </row>
    <row r="65" spans="1:11" x14ac:dyDescent="0.25">
      <c r="A65" s="3">
        <v>46086</v>
      </c>
      <c r="B65" s="5" t="s">
        <v>187</v>
      </c>
      <c r="C65" s="5" t="s">
        <v>187</v>
      </c>
      <c r="D65" s="5" t="s">
        <v>164</v>
      </c>
      <c r="E65" s="4" t="str">
        <f>"00971585882003"</f>
        <v>00971585882003</v>
      </c>
      <c r="F65" s="2" t="s">
        <v>13</v>
      </c>
      <c r="G65" s="2" t="s">
        <v>14</v>
      </c>
      <c r="H65" t="s">
        <v>15</v>
      </c>
      <c r="I65" s="1">
        <v>46086</v>
      </c>
      <c r="J65" t="s">
        <v>188</v>
      </c>
      <c r="K65" t="s">
        <v>189</v>
      </c>
    </row>
    <row r="66" spans="1:11" x14ac:dyDescent="0.25">
      <c r="A66" s="3">
        <v>46086</v>
      </c>
      <c r="B66" s="5" t="s">
        <v>187</v>
      </c>
      <c r="C66" s="5" t="s">
        <v>187</v>
      </c>
      <c r="D66" s="5" t="s">
        <v>164</v>
      </c>
      <c r="E66" s="4" t="str">
        <f>"00971585992003"</f>
        <v>00971585992003</v>
      </c>
      <c r="F66" s="2" t="s">
        <v>13</v>
      </c>
      <c r="G66" s="2" t="s">
        <v>14</v>
      </c>
      <c r="H66" t="s">
        <v>15</v>
      </c>
      <c r="I66" s="1">
        <v>46086</v>
      </c>
      <c r="J66" t="s">
        <v>188</v>
      </c>
      <c r="K66" t="s">
        <v>190</v>
      </c>
    </row>
    <row r="67" spans="1:11" x14ac:dyDescent="0.25">
      <c r="A67" s="3">
        <v>46086</v>
      </c>
      <c r="B67" s="5" t="s">
        <v>191</v>
      </c>
      <c r="C67" s="5" t="s">
        <v>191</v>
      </c>
      <c r="D67" s="5" t="s">
        <v>164</v>
      </c>
      <c r="E67" s="4" t="str">
        <f>"00971557970508"</f>
        <v>00971557970508</v>
      </c>
      <c r="F67" s="2" t="s">
        <v>13</v>
      </c>
      <c r="G67" s="2" t="s">
        <v>14</v>
      </c>
      <c r="H67" t="s">
        <v>15</v>
      </c>
      <c r="I67" s="1">
        <v>46086</v>
      </c>
      <c r="J67" t="s">
        <v>192</v>
      </c>
      <c r="K67" t="s">
        <v>193</v>
      </c>
    </row>
    <row r="68" spans="1:11" x14ac:dyDescent="0.25">
      <c r="A68" s="3">
        <v>46086</v>
      </c>
      <c r="B68" s="5" t="s">
        <v>194</v>
      </c>
      <c r="C68" s="5" t="s">
        <v>194</v>
      </c>
      <c r="D68" s="5" t="s">
        <v>164</v>
      </c>
      <c r="E68" s="4" t="str">
        <f>"00971555158001"</f>
        <v>00971555158001</v>
      </c>
      <c r="F68" s="2" t="s">
        <v>13</v>
      </c>
      <c r="G68" s="2" t="s">
        <v>14</v>
      </c>
      <c r="H68" t="s">
        <v>15</v>
      </c>
      <c r="I68" s="1">
        <v>46086</v>
      </c>
      <c r="J68" t="s">
        <v>195</v>
      </c>
      <c r="K68" t="s">
        <v>196</v>
      </c>
    </row>
    <row r="69" spans="1:11" x14ac:dyDescent="0.25">
      <c r="A69" s="3">
        <v>46086</v>
      </c>
      <c r="B69" s="5" t="s">
        <v>197</v>
      </c>
      <c r="C69" s="5" t="s">
        <v>197</v>
      </c>
      <c r="D69" s="5" t="s">
        <v>164</v>
      </c>
      <c r="E69" s="4" t="str">
        <f>"00971504048070"</f>
        <v>00971504048070</v>
      </c>
      <c r="F69" s="2" t="s">
        <v>13</v>
      </c>
      <c r="G69" s="2" t="s">
        <v>14</v>
      </c>
      <c r="H69" t="s">
        <v>15</v>
      </c>
      <c r="I69" s="1">
        <v>46086</v>
      </c>
      <c r="J69" t="s">
        <v>198</v>
      </c>
      <c r="K69" t="s">
        <v>199</v>
      </c>
    </row>
    <row r="70" spans="1:11" x14ac:dyDescent="0.25">
      <c r="A70" s="3">
        <v>46086</v>
      </c>
      <c r="B70" s="5" t="s">
        <v>200</v>
      </c>
      <c r="C70" s="5" t="s">
        <v>200</v>
      </c>
      <c r="D70" s="5" t="s">
        <v>164</v>
      </c>
      <c r="E70" s="4" t="str">
        <f>"00971508988247"</f>
        <v>00971508988247</v>
      </c>
      <c r="F70" s="2" t="s">
        <v>13</v>
      </c>
      <c r="G70" s="2" t="s">
        <v>14</v>
      </c>
      <c r="H70" t="s">
        <v>15</v>
      </c>
      <c r="I70" s="1">
        <v>46086</v>
      </c>
      <c r="J70" t="s">
        <v>201</v>
      </c>
      <c r="K70" t="s">
        <v>202</v>
      </c>
    </row>
    <row r="71" spans="1:11" x14ac:dyDescent="0.25">
      <c r="A71" s="3">
        <v>46086</v>
      </c>
      <c r="B71" s="5" t="s">
        <v>203</v>
      </c>
      <c r="C71" s="5" t="s">
        <v>203</v>
      </c>
      <c r="D71" s="5" t="s">
        <v>164</v>
      </c>
      <c r="E71" s="4" t="str">
        <f>"00971562730030"</f>
        <v>00971562730030</v>
      </c>
      <c r="F71" s="2" t="s">
        <v>13</v>
      </c>
      <c r="G71" s="2" t="s">
        <v>14</v>
      </c>
      <c r="H71" t="s">
        <v>15</v>
      </c>
      <c r="I71" s="1">
        <v>46086</v>
      </c>
      <c r="J71" t="s">
        <v>204</v>
      </c>
      <c r="K71" t="s">
        <v>205</v>
      </c>
    </row>
    <row r="72" spans="1:11" x14ac:dyDescent="0.25">
      <c r="A72" s="3">
        <v>46086</v>
      </c>
      <c r="B72" s="5" t="s">
        <v>206</v>
      </c>
      <c r="C72" s="5" t="s">
        <v>206</v>
      </c>
      <c r="D72" s="5" t="s">
        <v>164</v>
      </c>
      <c r="E72" s="4" t="str">
        <f>"00971585850360"</f>
        <v>00971585850360</v>
      </c>
      <c r="F72" s="2" t="s">
        <v>13</v>
      </c>
      <c r="G72" s="2" t="s">
        <v>14</v>
      </c>
      <c r="H72" t="s">
        <v>15</v>
      </c>
      <c r="I72" s="1">
        <v>46086</v>
      </c>
      <c r="J72" t="s">
        <v>207</v>
      </c>
      <c r="K72" t="s">
        <v>208</v>
      </c>
    </row>
    <row r="73" spans="1:11" x14ac:dyDescent="0.25">
      <c r="A73" s="3">
        <v>46086</v>
      </c>
      <c r="B73" s="5" t="s">
        <v>206</v>
      </c>
      <c r="C73" s="5" t="s">
        <v>206</v>
      </c>
      <c r="D73" s="5" t="s">
        <v>164</v>
      </c>
      <c r="E73" s="4" t="str">
        <f>"00971585851360"</f>
        <v>00971585851360</v>
      </c>
      <c r="F73" s="2" t="s">
        <v>13</v>
      </c>
      <c r="G73" s="2" t="s">
        <v>14</v>
      </c>
      <c r="H73" t="s">
        <v>15</v>
      </c>
      <c r="I73" s="1">
        <v>46086</v>
      </c>
      <c r="J73" t="s">
        <v>207</v>
      </c>
      <c r="K73" t="s">
        <v>209</v>
      </c>
    </row>
    <row r="74" spans="1:11" x14ac:dyDescent="0.25">
      <c r="A74" s="3">
        <v>46086</v>
      </c>
      <c r="B74" s="5" t="s">
        <v>210</v>
      </c>
      <c r="C74" s="5" t="s">
        <v>210</v>
      </c>
      <c r="D74" s="5" t="s">
        <v>164</v>
      </c>
      <c r="E74" s="4" t="str">
        <f>"00971552198410"</f>
        <v>00971552198410</v>
      </c>
      <c r="F74" s="2" t="s">
        <v>13</v>
      </c>
      <c r="G74" s="2" t="s">
        <v>14</v>
      </c>
      <c r="H74" t="s">
        <v>15</v>
      </c>
      <c r="I74" s="1">
        <v>46086</v>
      </c>
      <c r="J74" t="s">
        <v>211</v>
      </c>
      <c r="K74" t="s">
        <v>212</v>
      </c>
    </row>
    <row r="75" spans="1:11" x14ac:dyDescent="0.25">
      <c r="A75" s="3">
        <v>46086</v>
      </c>
      <c r="B75" s="5" t="s">
        <v>213</v>
      </c>
      <c r="C75" s="5" t="s">
        <v>213</v>
      </c>
      <c r="D75" s="5" t="s">
        <v>164</v>
      </c>
      <c r="E75" s="4" t="str">
        <f>"00971553332175"</f>
        <v>00971553332175</v>
      </c>
      <c r="F75" s="2" t="s">
        <v>13</v>
      </c>
      <c r="G75" s="2" t="s">
        <v>14</v>
      </c>
      <c r="H75" t="s">
        <v>15</v>
      </c>
      <c r="I75" s="1">
        <v>46086</v>
      </c>
      <c r="J75" t="s">
        <v>214</v>
      </c>
      <c r="K75" t="s">
        <v>215</v>
      </c>
    </row>
    <row r="76" spans="1:11" x14ac:dyDescent="0.25">
      <c r="A76" s="3">
        <v>46086</v>
      </c>
      <c r="B76" s="5" t="s">
        <v>216</v>
      </c>
      <c r="C76" s="5" t="s">
        <v>216</v>
      </c>
      <c r="D76" s="5" t="s">
        <v>164</v>
      </c>
      <c r="E76" s="4" t="str">
        <f>"00971563509559"</f>
        <v>00971563509559</v>
      </c>
      <c r="F76" s="2" t="s">
        <v>13</v>
      </c>
      <c r="G76" s="2" t="s">
        <v>14</v>
      </c>
      <c r="H76" t="s">
        <v>15</v>
      </c>
      <c r="I76" s="1">
        <v>46086</v>
      </c>
      <c r="J76" t="s">
        <v>217</v>
      </c>
      <c r="K76" t="s">
        <v>218</v>
      </c>
    </row>
    <row r="77" spans="1:11" x14ac:dyDescent="0.25">
      <c r="A77" s="3">
        <v>46086</v>
      </c>
      <c r="B77" s="5" t="s">
        <v>219</v>
      </c>
      <c r="C77" s="5" t="s">
        <v>219</v>
      </c>
      <c r="D77" s="5" t="s">
        <v>164</v>
      </c>
      <c r="E77" s="4" t="str">
        <f>"00971521675135"</f>
        <v>00971521675135</v>
      </c>
      <c r="F77" s="2" t="s">
        <v>13</v>
      </c>
      <c r="G77" s="2" t="s">
        <v>14</v>
      </c>
      <c r="H77" t="s">
        <v>15</v>
      </c>
      <c r="I77" s="1">
        <v>46086</v>
      </c>
      <c r="J77" t="s">
        <v>220</v>
      </c>
      <c r="K77" t="s">
        <v>221</v>
      </c>
    </row>
    <row r="78" spans="1:11" x14ac:dyDescent="0.25">
      <c r="A78" s="3">
        <v>46086</v>
      </c>
      <c r="B78" s="5" t="s">
        <v>222</v>
      </c>
      <c r="C78" s="5" t="s">
        <v>222</v>
      </c>
      <c r="D78" s="5" t="s">
        <v>164</v>
      </c>
      <c r="E78" s="4" t="str">
        <f>"00971561765970"</f>
        <v>00971561765970</v>
      </c>
      <c r="F78" s="2" t="s">
        <v>13</v>
      </c>
      <c r="G78" s="2" t="s">
        <v>14</v>
      </c>
      <c r="H78" t="s">
        <v>15</v>
      </c>
      <c r="I78" s="1">
        <v>46086</v>
      </c>
      <c r="J78" t="s">
        <v>223</v>
      </c>
      <c r="K78" t="s">
        <v>224</v>
      </c>
    </row>
    <row r="79" spans="1:11" x14ac:dyDescent="0.25">
      <c r="A79" s="3">
        <v>46086</v>
      </c>
      <c r="B79" s="5" t="s">
        <v>225</v>
      </c>
      <c r="C79" s="5" t="s">
        <v>225</v>
      </c>
      <c r="D79" s="5" t="s">
        <v>164</v>
      </c>
      <c r="E79" s="4" t="str">
        <f>"00971506610477"</f>
        <v>00971506610477</v>
      </c>
      <c r="F79" s="2" t="s">
        <v>13</v>
      </c>
      <c r="G79" s="2" t="s">
        <v>14</v>
      </c>
      <c r="H79" t="s">
        <v>15</v>
      </c>
      <c r="I79" s="1">
        <v>46086</v>
      </c>
      <c r="J79" t="s">
        <v>226</v>
      </c>
      <c r="K79" t="s">
        <v>227</v>
      </c>
    </row>
    <row r="80" spans="1:11" x14ac:dyDescent="0.25">
      <c r="A80" s="3">
        <v>46086</v>
      </c>
      <c r="B80" s="5" t="s">
        <v>228</v>
      </c>
      <c r="C80" s="5" t="s">
        <v>228</v>
      </c>
      <c r="D80" s="5" t="s">
        <v>164</v>
      </c>
      <c r="E80" s="4" t="str">
        <f>"00971504819989"</f>
        <v>00971504819989</v>
      </c>
      <c r="F80" s="2" t="s">
        <v>13</v>
      </c>
      <c r="G80" s="2" t="s">
        <v>14</v>
      </c>
      <c r="H80" t="s">
        <v>15</v>
      </c>
      <c r="I80" s="1">
        <v>46086</v>
      </c>
      <c r="J80" t="s">
        <v>229</v>
      </c>
      <c r="K80" t="s">
        <v>230</v>
      </c>
    </row>
    <row r="81" spans="1:11" x14ac:dyDescent="0.25">
      <c r="A81" s="3">
        <v>46086</v>
      </c>
      <c r="B81" s="5" t="s">
        <v>231</v>
      </c>
      <c r="C81" s="5" t="s">
        <v>231</v>
      </c>
      <c r="D81" s="5" t="s">
        <v>164</v>
      </c>
      <c r="E81" s="4" t="str">
        <f>"00971524581403"</f>
        <v>00971524581403</v>
      </c>
      <c r="F81" s="2" t="s">
        <v>13</v>
      </c>
      <c r="G81" s="2" t="s">
        <v>14</v>
      </c>
      <c r="H81" t="s">
        <v>15</v>
      </c>
      <c r="I81" s="1">
        <v>46086</v>
      </c>
      <c r="J81" t="s">
        <v>232</v>
      </c>
      <c r="K81" t="s">
        <v>233</v>
      </c>
    </row>
    <row r="82" spans="1:11" x14ac:dyDescent="0.25">
      <c r="A82" s="3">
        <v>46086</v>
      </c>
      <c r="B82" s="5" t="s">
        <v>234</v>
      </c>
      <c r="C82" s="5" t="s">
        <v>234</v>
      </c>
      <c r="D82" s="5" t="s">
        <v>164</v>
      </c>
      <c r="E82" s="4" t="str">
        <f>"00971559318838"</f>
        <v>00971559318838</v>
      </c>
      <c r="F82" s="2" t="s">
        <v>13</v>
      </c>
      <c r="G82" s="2" t="s">
        <v>14</v>
      </c>
      <c r="H82" t="s">
        <v>15</v>
      </c>
      <c r="I82" s="1">
        <v>46086</v>
      </c>
      <c r="J82" t="s">
        <v>235</v>
      </c>
      <c r="K82" t="s">
        <v>236</v>
      </c>
    </row>
    <row r="83" spans="1:11" x14ac:dyDescent="0.25">
      <c r="A83" s="3">
        <v>46086</v>
      </c>
      <c r="B83" s="5" t="s">
        <v>237</v>
      </c>
      <c r="C83" s="5" t="s">
        <v>237</v>
      </c>
      <c r="D83" s="5" t="s">
        <v>164</v>
      </c>
      <c r="E83" s="4" t="str">
        <f>"00971508112009"</f>
        <v>00971508112009</v>
      </c>
      <c r="F83" s="2" t="s">
        <v>13</v>
      </c>
      <c r="G83" s="2" t="s">
        <v>14</v>
      </c>
      <c r="H83" t="s">
        <v>15</v>
      </c>
      <c r="I83" s="1">
        <v>46086</v>
      </c>
      <c r="J83" t="s">
        <v>238</v>
      </c>
      <c r="K83" t="s">
        <v>239</v>
      </c>
    </row>
    <row r="84" spans="1:11" x14ac:dyDescent="0.25">
      <c r="A84" s="3">
        <v>46086</v>
      </c>
      <c r="B84" s="5" t="s">
        <v>240</v>
      </c>
      <c r="C84" s="5" t="s">
        <v>240</v>
      </c>
      <c r="D84" s="5" t="s">
        <v>164</v>
      </c>
      <c r="E84" s="4" t="str">
        <f>"00971543943303"</f>
        <v>00971543943303</v>
      </c>
      <c r="F84" s="2" t="s">
        <v>13</v>
      </c>
      <c r="G84" s="2" t="s">
        <v>14</v>
      </c>
      <c r="H84" t="s">
        <v>15</v>
      </c>
      <c r="I84" s="1">
        <v>46086</v>
      </c>
      <c r="J84" t="s">
        <v>241</v>
      </c>
      <c r="K84" t="s">
        <v>242</v>
      </c>
    </row>
    <row r="85" spans="1:11" x14ac:dyDescent="0.25">
      <c r="A85" s="3">
        <v>46086</v>
      </c>
      <c r="B85" s="5" t="s">
        <v>243</v>
      </c>
      <c r="C85" s="5" t="s">
        <v>243</v>
      </c>
      <c r="D85" s="5" t="s">
        <v>164</v>
      </c>
      <c r="E85" s="4" t="str">
        <f>"00971558797149"</f>
        <v>00971558797149</v>
      </c>
      <c r="F85" s="2" t="s">
        <v>13</v>
      </c>
      <c r="G85" s="2" t="s">
        <v>14</v>
      </c>
      <c r="H85" t="s">
        <v>15</v>
      </c>
      <c r="I85" s="1">
        <v>46086</v>
      </c>
      <c r="J85" t="s">
        <v>244</v>
      </c>
      <c r="K85" t="s">
        <v>245</v>
      </c>
    </row>
    <row r="86" spans="1:11" x14ac:dyDescent="0.25">
      <c r="A86" s="3">
        <v>46086</v>
      </c>
      <c r="B86" s="5" t="s">
        <v>246</v>
      </c>
      <c r="C86" s="5" t="s">
        <v>246</v>
      </c>
      <c r="D86" s="5" t="s">
        <v>164</v>
      </c>
      <c r="E86" s="4" t="str">
        <f>"00971552264892"</f>
        <v>00971552264892</v>
      </c>
      <c r="F86" s="2" t="s">
        <v>13</v>
      </c>
      <c r="G86" s="2" t="s">
        <v>14</v>
      </c>
      <c r="H86" t="s">
        <v>15</v>
      </c>
      <c r="I86" s="1">
        <v>46086</v>
      </c>
      <c r="J86" t="s">
        <v>247</v>
      </c>
      <c r="K86" t="s">
        <v>248</v>
      </c>
    </row>
    <row r="87" spans="1:11" x14ac:dyDescent="0.25">
      <c r="A87" s="3">
        <v>46086</v>
      </c>
      <c r="B87" s="5" t="s">
        <v>249</v>
      </c>
      <c r="C87" s="5" t="s">
        <v>249</v>
      </c>
      <c r="D87" s="5" t="s">
        <v>164</v>
      </c>
      <c r="E87" s="4" t="str">
        <f>"00971564468253"</f>
        <v>00971564468253</v>
      </c>
      <c r="F87" s="2" t="s">
        <v>13</v>
      </c>
      <c r="G87" s="2" t="s">
        <v>14</v>
      </c>
      <c r="H87" t="s">
        <v>15</v>
      </c>
      <c r="I87" s="1">
        <v>46086</v>
      </c>
      <c r="J87" t="s">
        <v>250</v>
      </c>
      <c r="K87" t="s">
        <v>251</v>
      </c>
    </row>
    <row r="88" spans="1:11" x14ac:dyDescent="0.25">
      <c r="A88" s="3">
        <v>46086</v>
      </c>
      <c r="B88" s="5" t="s">
        <v>252</v>
      </c>
      <c r="C88" s="5" t="s">
        <v>252</v>
      </c>
      <c r="D88" s="5" t="s">
        <v>164</v>
      </c>
      <c r="E88" s="4" t="str">
        <f>"00971547775033"</f>
        <v>00971547775033</v>
      </c>
      <c r="F88" s="2" t="s">
        <v>13</v>
      </c>
      <c r="G88" s="2" t="s">
        <v>14</v>
      </c>
      <c r="H88" t="s">
        <v>15</v>
      </c>
      <c r="I88" s="1">
        <v>46086</v>
      </c>
      <c r="J88" t="s">
        <v>253</v>
      </c>
      <c r="K88" t="s">
        <v>254</v>
      </c>
    </row>
    <row r="89" spans="1:11" x14ac:dyDescent="0.25">
      <c r="A89" s="3">
        <v>46086</v>
      </c>
      <c r="B89" s="5" t="s">
        <v>255</v>
      </c>
      <c r="C89" s="5" t="s">
        <v>255</v>
      </c>
      <c r="D89" s="5" t="s">
        <v>164</v>
      </c>
      <c r="E89" s="4" t="str">
        <f>"00971501099417"</f>
        <v>00971501099417</v>
      </c>
      <c r="F89" s="2" t="s">
        <v>13</v>
      </c>
      <c r="G89" s="2" t="s">
        <v>14</v>
      </c>
      <c r="H89" t="s">
        <v>15</v>
      </c>
      <c r="I89" s="1">
        <v>46086</v>
      </c>
      <c r="J89" t="s">
        <v>256</v>
      </c>
      <c r="K89" t="s">
        <v>257</v>
      </c>
    </row>
    <row r="90" spans="1:11" x14ac:dyDescent="0.25">
      <c r="A90" s="3">
        <v>46086</v>
      </c>
      <c r="B90" s="5" t="s">
        <v>258</v>
      </c>
      <c r="C90" s="5" t="s">
        <v>258</v>
      </c>
      <c r="D90" s="5" t="s">
        <v>164</v>
      </c>
      <c r="E90" s="4" t="str">
        <f>"00971506455781"</f>
        <v>00971506455781</v>
      </c>
      <c r="F90" s="2" t="s">
        <v>13</v>
      </c>
      <c r="G90" s="2" t="s">
        <v>14</v>
      </c>
      <c r="H90" t="s">
        <v>15</v>
      </c>
      <c r="I90" s="1">
        <v>46086</v>
      </c>
      <c r="J90" t="s">
        <v>259</v>
      </c>
      <c r="K90" t="s">
        <v>260</v>
      </c>
    </row>
    <row r="91" spans="1:11" x14ac:dyDescent="0.25">
      <c r="A91" s="3">
        <v>46086</v>
      </c>
      <c r="B91" s="5" t="s">
        <v>261</v>
      </c>
      <c r="C91" s="5" t="s">
        <v>261</v>
      </c>
      <c r="D91" s="5" t="s">
        <v>164</v>
      </c>
      <c r="E91" s="4" t="str">
        <f>"00971569987544"</f>
        <v>00971569987544</v>
      </c>
      <c r="F91" s="2" t="s">
        <v>13</v>
      </c>
      <c r="G91" s="2" t="s">
        <v>14</v>
      </c>
      <c r="H91" t="s">
        <v>15</v>
      </c>
      <c r="I91" s="1">
        <v>46086</v>
      </c>
      <c r="J91" t="s">
        <v>262</v>
      </c>
      <c r="K91" t="s">
        <v>263</v>
      </c>
    </row>
    <row r="92" spans="1:11" x14ac:dyDescent="0.25">
      <c r="A92" s="3">
        <v>46086</v>
      </c>
      <c r="B92" s="5" t="s">
        <v>261</v>
      </c>
      <c r="C92" s="5" t="s">
        <v>261</v>
      </c>
      <c r="D92" s="5" t="s">
        <v>164</v>
      </c>
      <c r="E92" s="4" t="str">
        <f>"00971586787499"</f>
        <v>00971586787499</v>
      </c>
      <c r="F92" s="2" t="s">
        <v>13</v>
      </c>
      <c r="G92" s="2" t="s">
        <v>14</v>
      </c>
      <c r="H92" t="s">
        <v>15</v>
      </c>
      <c r="I92" s="1">
        <v>46086</v>
      </c>
      <c r="J92" t="s">
        <v>262</v>
      </c>
      <c r="K92" t="s">
        <v>264</v>
      </c>
    </row>
    <row r="93" spans="1:11" x14ac:dyDescent="0.25">
      <c r="A93" s="3">
        <v>46086</v>
      </c>
      <c r="B93" s="5" t="s">
        <v>265</v>
      </c>
      <c r="C93" s="5" t="s">
        <v>265</v>
      </c>
      <c r="D93" s="5" t="s">
        <v>164</v>
      </c>
      <c r="E93" s="4" t="str">
        <f>"00971558813941"</f>
        <v>00971558813941</v>
      </c>
      <c r="F93" s="2" t="s">
        <v>13</v>
      </c>
      <c r="G93" s="2" t="s">
        <v>14</v>
      </c>
      <c r="H93" t="s">
        <v>15</v>
      </c>
      <c r="I93" s="1">
        <v>46086</v>
      </c>
      <c r="J93" t="s">
        <v>266</v>
      </c>
      <c r="K93" t="s">
        <v>267</v>
      </c>
    </row>
    <row r="94" spans="1:11" x14ac:dyDescent="0.25">
      <c r="A94" s="3">
        <v>46086</v>
      </c>
      <c r="B94" s="5" t="s">
        <v>268</v>
      </c>
      <c r="C94" s="5" t="s">
        <v>268</v>
      </c>
      <c r="D94" s="5" t="s">
        <v>164</v>
      </c>
      <c r="E94" s="4" t="str">
        <f>"00971557545125"</f>
        <v>00971557545125</v>
      </c>
      <c r="F94" s="2" t="s">
        <v>13</v>
      </c>
      <c r="G94" s="2" t="s">
        <v>14</v>
      </c>
      <c r="H94" t="s">
        <v>15</v>
      </c>
      <c r="I94" s="1">
        <v>46086</v>
      </c>
      <c r="J94" t="s">
        <v>269</v>
      </c>
      <c r="K94" t="s">
        <v>270</v>
      </c>
    </row>
    <row r="95" spans="1:11" x14ac:dyDescent="0.25">
      <c r="A95" s="3">
        <v>46086</v>
      </c>
      <c r="B95" s="5" t="s">
        <v>271</v>
      </c>
      <c r="C95" s="5" t="s">
        <v>271</v>
      </c>
      <c r="D95" s="5" t="s">
        <v>164</v>
      </c>
      <c r="E95" s="4" t="str">
        <f>"00971553673376"</f>
        <v>00971553673376</v>
      </c>
      <c r="F95" s="2" t="s">
        <v>13</v>
      </c>
      <c r="G95" s="2" t="s">
        <v>14</v>
      </c>
      <c r="H95" t="s">
        <v>15</v>
      </c>
      <c r="I95" s="1">
        <v>46086</v>
      </c>
      <c r="J95" t="s">
        <v>272</v>
      </c>
      <c r="K95" t="s">
        <v>273</v>
      </c>
    </row>
    <row r="96" spans="1:11" x14ac:dyDescent="0.25">
      <c r="A96" s="3">
        <v>46086</v>
      </c>
      <c r="B96" s="5" t="s">
        <v>274</v>
      </c>
      <c r="C96" s="5" t="s">
        <v>274</v>
      </c>
      <c r="D96" s="5" t="s">
        <v>164</v>
      </c>
      <c r="E96" s="4" t="str">
        <f>"00971506522208"</f>
        <v>00971506522208</v>
      </c>
      <c r="F96" s="2" t="s">
        <v>13</v>
      </c>
      <c r="G96" s="2" t="s">
        <v>14</v>
      </c>
      <c r="H96" t="s">
        <v>15</v>
      </c>
      <c r="I96" s="1">
        <v>46086</v>
      </c>
      <c r="J96" t="s">
        <v>275</v>
      </c>
      <c r="K96" t="s">
        <v>276</v>
      </c>
    </row>
    <row r="97" spans="1:11" x14ac:dyDescent="0.25">
      <c r="A97" s="3">
        <v>46086</v>
      </c>
      <c r="B97" s="5" t="s">
        <v>277</v>
      </c>
      <c r="C97" s="5" t="s">
        <v>277</v>
      </c>
      <c r="D97" s="5" t="s">
        <v>164</v>
      </c>
      <c r="E97" s="4" t="str">
        <f>"00971563671188"</f>
        <v>00971563671188</v>
      </c>
      <c r="F97" s="2" t="s">
        <v>13</v>
      </c>
      <c r="G97" s="2" t="s">
        <v>14</v>
      </c>
      <c r="H97" t="s">
        <v>15</v>
      </c>
      <c r="I97" s="1">
        <v>46086</v>
      </c>
      <c r="J97" t="s">
        <v>278</v>
      </c>
      <c r="K97" t="s">
        <v>279</v>
      </c>
    </row>
    <row r="98" spans="1:11" x14ac:dyDescent="0.25">
      <c r="A98" s="3">
        <v>46086</v>
      </c>
      <c r="B98" s="5" t="s">
        <v>280</v>
      </c>
      <c r="C98" s="5" t="s">
        <v>280</v>
      </c>
      <c r="D98" s="5" t="s">
        <v>164</v>
      </c>
      <c r="E98" s="4" t="str">
        <f>"00971585187727"</f>
        <v>00971585187727</v>
      </c>
      <c r="F98" s="2" t="s">
        <v>13</v>
      </c>
      <c r="G98" s="2" t="s">
        <v>14</v>
      </c>
      <c r="H98" t="s">
        <v>15</v>
      </c>
      <c r="I98" s="1">
        <v>46086</v>
      </c>
      <c r="J98" t="s">
        <v>281</v>
      </c>
      <c r="K98" t="s">
        <v>282</v>
      </c>
    </row>
    <row r="99" spans="1:11" x14ac:dyDescent="0.25">
      <c r="A99" s="3">
        <v>46086</v>
      </c>
      <c r="B99" s="5" t="s">
        <v>283</v>
      </c>
      <c r="C99" s="5" t="s">
        <v>283</v>
      </c>
      <c r="D99" s="5" t="s">
        <v>164</v>
      </c>
      <c r="E99" s="4" t="str">
        <f>"00971543595923"</f>
        <v>00971543595923</v>
      </c>
      <c r="F99" s="2" t="s">
        <v>13</v>
      </c>
      <c r="G99" s="2" t="s">
        <v>14</v>
      </c>
      <c r="H99" t="s">
        <v>15</v>
      </c>
      <c r="I99" s="1">
        <v>46086</v>
      </c>
      <c r="J99" t="s">
        <v>284</v>
      </c>
      <c r="K99" t="s">
        <v>285</v>
      </c>
    </row>
    <row r="100" spans="1:11" x14ac:dyDescent="0.25">
      <c r="A100" s="3">
        <v>46086</v>
      </c>
      <c r="B100" s="5" t="s">
        <v>286</v>
      </c>
      <c r="C100" s="5" t="s">
        <v>286</v>
      </c>
      <c r="D100" s="5" t="s">
        <v>164</v>
      </c>
      <c r="E100" s="4" t="str">
        <f>"00971521548065"</f>
        <v>00971521548065</v>
      </c>
      <c r="F100" s="2" t="s">
        <v>13</v>
      </c>
      <c r="G100" s="2" t="s">
        <v>14</v>
      </c>
      <c r="H100" t="s">
        <v>15</v>
      </c>
      <c r="I100" s="1">
        <v>46086</v>
      </c>
      <c r="J100" t="s">
        <v>287</v>
      </c>
      <c r="K100" t="s">
        <v>288</v>
      </c>
    </row>
    <row r="101" spans="1:11" x14ac:dyDescent="0.25">
      <c r="A101" s="3">
        <v>46086</v>
      </c>
      <c r="B101" s="5" t="s">
        <v>289</v>
      </c>
      <c r="C101" s="5" t="s">
        <v>289</v>
      </c>
      <c r="D101" s="5" t="s">
        <v>164</v>
      </c>
      <c r="E101" s="4" t="str">
        <f>"00971522418321"</f>
        <v>00971522418321</v>
      </c>
      <c r="F101" s="2" t="s">
        <v>13</v>
      </c>
      <c r="G101" s="2" t="s">
        <v>14</v>
      </c>
      <c r="H101" t="s">
        <v>15</v>
      </c>
      <c r="I101" s="1">
        <v>46086</v>
      </c>
      <c r="J101" t="s">
        <v>290</v>
      </c>
      <c r="K101" t="s">
        <v>291</v>
      </c>
    </row>
    <row r="102" spans="1:11" x14ac:dyDescent="0.25">
      <c r="A102" s="3">
        <v>46086</v>
      </c>
      <c r="B102" s="5" t="s">
        <v>292</v>
      </c>
      <c r="C102" s="5" t="s">
        <v>292</v>
      </c>
      <c r="D102" s="5" t="s">
        <v>164</v>
      </c>
      <c r="E102" s="4" t="str">
        <f>"00971526060785"</f>
        <v>00971526060785</v>
      </c>
      <c r="F102" s="2" t="s">
        <v>13</v>
      </c>
      <c r="G102" s="2" t="s">
        <v>14</v>
      </c>
      <c r="H102" t="s">
        <v>15</v>
      </c>
      <c r="I102" s="1">
        <v>46086</v>
      </c>
      <c r="J102" t="s">
        <v>293</v>
      </c>
      <c r="K102" t="s">
        <v>294</v>
      </c>
    </row>
    <row r="103" spans="1:11" x14ac:dyDescent="0.25">
      <c r="A103" s="3">
        <v>46086</v>
      </c>
      <c r="B103" s="5" t="s">
        <v>295</v>
      </c>
      <c r="C103" s="5" t="s">
        <v>295</v>
      </c>
      <c r="D103" s="5" t="s">
        <v>164</v>
      </c>
      <c r="E103" s="4" t="str">
        <f>"00971553805148"</f>
        <v>00971553805148</v>
      </c>
      <c r="F103" s="2" t="s">
        <v>13</v>
      </c>
      <c r="G103" s="2" t="s">
        <v>14</v>
      </c>
      <c r="H103" t="s">
        <v>15</v>
      </c>
      <c r="I103" s="1">
        <v>46086</v>
      </c>
      <c r="J103" t="s">
        <v>296</v>
      </c>
      <c r="K103" t="s">
        <v>297</v>
      </c>
    </row>
    <row r="104" spans="1:11" x14ac:dyDescent="0.25">
      <c r="A104" s="3">
        <v>46086</v>
      </c>
      <c r="B104" s="5" t="s">
        <v>298</v>
      </c>
      <c r="C104" s="5" t="s">
        <v>298</v>
      </c>
      <c r="D104" s="5" t="s">
        <v>164</v>
      </c>
      <c r="E104" s="4" t="str">
        <f>"00971585427897"</f>
        <v>00971585427897</v>
      </c>
      <c r="F104" s="2" t="s">
        <v>13</v>
      </c>
      <c r="G104" s="2" t="s">
        <v>14</v>
      </c>
      <c r="H104" t="s">
        <v>15</v>
      </c>
      <c r="I104" s="1">
        <v>46086</v>
      </c>
      <c r="J104" t="s">
        <v>299</v>
      </c>
      <c r="K104" t="s">
        <v>300</v>
      </c>
    </row>
    <row r="105" spans="1:11" x14ac:dyDescent="0.25">
      <c r="A105" s="3">
        <v>46086</v>
      </c>
      <c r="B105" s="5" t="s">
        <v>301</v>
      </c>
      <c r="C105" s="5" t="s">
        <v>301</v>
      </c>
      <c r="D105" s="5" t="s">
        <v>164</v>
      </c>
      <c r="E105" s="4" t="str">
        <f>"00971501809327"</f>
        <v>00971501809327</v>
      </c>
      <c r="F105" s="2" t="s">
        <v>13</v>
      </c>
      <c r="G105" s="2" t="s">
        <v>14</v>
      </c>
      <c r="H105" t="s">
        <v>15</v>
      </c>
      <c r="I105" s="1">
        <v>46086</v>
      </c>
      <c r="J105" t="s">
        <v>302</v>
      </c>
      <c r="K105" t="s">
        <v>303</v>
      </c>
    </row>
    <row r="106" spans="1:11" x14ac:dyDescent="0.25">
      <c r="A106" s="3">
        <v>46086</v>
      </c>
      <c r="B106" s="5" t="s">
        <v>304</v>
      </c>
      <c r="C106" s="5" t="s">
        <v>304</v>
      </c>
      <c r="D106" s="5" t="s">
        <v>164</v>
      </c>
      <c r="E106" s="4" t="str">
        <f>"00971543357010"</f>
        <v>00971543357010</v>
      </c>
      <c r="F106" s="2" t="s">
        <v>13</v>
      </c>
      <c r="G106" s="2" t="s">
        <v>14</v>
      </c>
      <c r="H106" t="s">
        <v>15</v>
      </c>
      <c r="I106" s="1">
        <v>46086</v>
      </c>
      <c r="J106" t="s">
        <v>305</v>
      </c>
      <c r="K106" t="s">
        <v>306</v>
      </c>
    </row>
    <row r="107" spans="1:11" x14ac:dyDescent="0.25">
      <c r="A107" s="3">
        <v>46086</v>
      </c>
      <c r="B107" s="5" t="s">
        <v>307</v>
      </c>
      <c r="C107" s="5" t="s">
        <v>307</v>
      </c>
      <c r="D107" s="5" t="s">
        <v>164</v>
      </c>
      <c r="E107" s="4" t="str">
        <f>"00971505302603"</f>
        <v>00971505302603</v>
      </c>
      <c r="F107" s="2" t="s">
        <v>13</v>
      </c>
      <c r="G107" s="2" t="s">
        <v>14</v>
      </c>
      <c r="H107" t="s">
        <v>15</v>
      </c>
      <c r="I107" s="1">
        <v>46086</v>
      </c>
      <c r="J107" t="s">
        <v>308</v>
      </c>
      <c r="K107" t="s">
        <v>309</v>
      </c>
    </row>
    <row r="108" spans="1:11" x14ac:dyDescent="0.25">
      <c r="A108" s="3">
        <v>46086</v>
      </c>
      <c r="B108" s="5" t="s">
        <v>310</v>
      </c>
      <c r="C108" s="5" t="s">
        <v>310</v>
      </c>
      <c r="D108" s="5" t="s">
        <v>164</v>
      </c>
      <c r="E108" s="4" t="str">
        <f>"00971506562321"</f>
        <v>00971506562321</v>
      </c>
      <c r="F108" s="2" t="s">
        <v>13</v>
      </c>
      <c r="G108" s="2" t="s">
        <v>14</v>
      </c>
      <c r="H108" t="s">
        <v>15</v>
      </c>
      <c r="I108" s="1">
        <v>46086</v>
      </c>
      <c r="J108" t="s">
        <v>311</v>
      </c>
      <c r="K108" t="s">
        <v>312</v>
      </c>
    </row>
    <row r="109" spans="1:11" x14ac:dyDescent="0.25">
      <c r="A109" s="3">
        <v>46086</v>
      </c>
      <c r="B109" s="5" t="s">
        <v>313</v>
      </c>
      <c r="C109" s="5" t="s">
        <v>313</v>
      </c>
      <c r="D109" s="5" t="s">
        <v>164</v>
      </c>
      <c r="E109" s="4" t="str">
        <f>"00971506248301"</f>
        <v>00971506248301</v>
      </c>
      <c r="F109" s="2" t="s">
        <v>13</v>
      </c>
      <c r="G109" s="2" t="s">
        <v>14</v>
      </c>
      <c r="H109" t="s">
        <v>15</v>
      </c>
      <c r="I109" s="1">
        <v>46086</v>
      </c>
      <c r="J109" t="s">
        <v>314</v>
      </c>
      <c r="K109" t="s">
        <v>315</v>
      </c>
    </row>
    <row r="110" spans="1:11" x14ac:dyDescent="0.25">
      <c r="A110" s="3">
        <v>46086</v>
      </c>
      <c r="B110" s="5" t="s">
        <v>316</v>
      </c>
      <c r="C110" s="5" t="s">
        <v>316</v>
      </c>
      <c r="D110" s="5" t="s">
        <v>164</v>
      </c>
      <c r="E110" s="4" t="str">
        <f>"00971552488724"</f>
        <v>00971552488724</v>
      </c>
      <c r="F110" s="2" t="s">
        <v>13</v>
      </c>
      <c r="G110" s="2" t="s">
        <v>14</v>
      </c>
      <c r="H110" t="s">
        <v>15</v>
      </c>
      <c r="I110" s="1">
        <v>46086</v>
      </c>
      <c r="J110" t="s">
        <v>317</v>
      </c>
      <c r="K110" t="s">
        <v>318</v>
      </c>
    </row>
    <row r="111" spans="1:11" x14ac:dyDescent="0.25">
      <c r="A111" s="3">
        <v>46086</v>
      </c>
      <c r="B111" s="5" t="s">
        <v>319</v>
      </c>
      <c r="C111" s="5" t="s">
        <v>319</v>
      </c>
      <c r="D111" s="5" t="s">
        <v>164</v>
      </c>
      <c r="E111" s="4" t="str">
        <f>"00971559892100"</f>
        <v>00971559892100</v>
      </c>
      <c r="F111" s="2" t="s">
        <v>13</v>
      </c>
      <c r="G111" s="2" t="s">
        <v>14</v>
      </c>
      <c r="H111" t="s">
        <v>15</v>
      </c>
      <c r="I111" s="1">
        <v>46086</v>
      </c>
      <c r="J111" t="s">
        <v>320</v>
      </c>
      <c r="K111" t="s">
        <v>321</v>
      </c>
    </row>
    <row r="112" spans="1:11" x14ac:dyDescent="0.25">
      <c r="A112" s="3">
        <v>46086</v>
      </c>
      <c r="B112" s="5" t="s">
        <v>322</v>
      </c>
      <c r="C112" s="5" t="s">
        <v>322</v>
      </c>
      <c r="D112" s="5" t="s">
        <v>164</v>
      </c>
      <c r="E112" s="4" t="str">
        <f>"00971505846960"</f>
        <v>00971505846960</v>
      </c>
      <c r="F112" s="2" t="s">
        <v>13</v>
      </c>
      <c r="G112" s="2" t="s">
        <v>14</v>
      </c>
      <c r="H112" t="s">
        <v>15</v>
      </c>
      <c r="I112" s="1">
        <v>46086</v>
      </c>
      <c r="J112" t="s">
        <v>323</v>
      </c>
      <c r="K112" t="s">
        <v>324</v>
      </c>
    </row>
    <row r="113" spans="1:11" x14ac:dyDescent="0.25">
      <c r="A113" s="3">
        <v>46086</v>
      </c>
      <c r="B113" s="5" t="s">
        <v>325</v>
      </c>
      <c r="C113" s="5" t="s">
        <v>325</v>
      </c>
      <c r="D113" s="5" t="s">
        <v>164</v>
      </c>
      <c r="E113" s="4" t="str">
        <f>"00971506462583"</f>
        <v>00971506462583</v>
      </c>
      <c r="F113" s="2" t="s">
        <v>13</v>
      </c>
      <c r="G113" s="2" t="s">
        <v>14</v>
      </c>
      <c r="H113" t="s">
        <v>15</v>
      </c>
      <c r="I113" s="1">
        <v>46086</v>
      </c>
      <c r="J113" t="s">
        <v>326</v>
      </c>
      <c r="K113" t="s">
        <v>327</v>
      </c>
    </row>
    <row r="114" spans="1:11" x14ac:dyDescent="0.25">
      <c r="A114" s="3">
        <v>46086</v>
      </c>
      <c r="B114" s="5" t="s">
        <v>328</v>
      </c>
      <c r="C114" s="5" t="s">
        <v>328</v>
      </c>
      <c r="D114" s="5" t="s">
        <v>164</v>
      </c>
      <c r="E114" s="4" t="str">
        <f>"00971505388977"</f>
        <v>00971505388977</v>
      </c>
      <c r="F114" s="2" t="s">
        <v>13</v>
      </c>
      <c r="G114" s="2" t="s">
        <v>14</v>
      </c>
      <c r="H114" t="s">
        <v>15</v>
      </c>
      <c r="I114" s="1">
        <v>46086</v>
      </c>
      <c r="J114" t="s">
        <v>329</v>
      </c>
      <c r="K114" t="s">
        <v>330</v>
      </c>
    </row>
    <row r="115" spans="1:11" x14ac:dyDescent="0.25">
      <c r="A115" s="3">
        <v>46086</v>
      </c>
      <c r="B115" s="5" t="s">
        <v>331</v>
      </c>
      <c r="C115" s="5" t="s">
        <v>331</v>
      </c>
      <c r="D115" s="5" t="s">
        <v>164</v>
      </c>
      <c r="E115" s="4" t="str">
        <f>"00971501700170"</f>
        <v>00971501700170</v>
      </c>
      <c r="F115" s="2" t="s">
        <v>13</v>
      </c>
      <c r="G115" s="2" t="s">
        <v>14</v>
      </c>
      <c r="H115" t="s">
        <v>15</v>
      </c>
      <c r="I115" s="1">
        <v>46086</v>
      </c>
      <c r="J115" t="s">
        <v>332</v>
      </c>
      <c r="K115" t="s">
        <v>333</v>
      </c>
    </row>
    <row r="116" spans="1:11" x14ac:dyDescent="0.25">
      <c r="A116" s="3">
        <v>46086</v>
      </c>
      <c r="B116" s="5" t="s">
        <v>334</v>
      </c>
      <c r="C116" s="5" t="s">
        <v>334</v>
      </c>
      <c r="D116" s="5" t="s">
        <v>164</v>
      </c>
      <c r="E116" s="4" t="str">
        <f>"00971552887699"</f>
        <v>00971552887699</v>
      </c>
      <c r="F116" s="2" t="s">
        <v>13</v>
      </c>
      <c r="G116" s="2" t="s">
        <v>14</v>
      </c>
      <c r="H116" t="s">
        <v>15</v>
      </c>
      <c r="I116" s="1">
        <v>46086</v>
      </c>
      <c r="J116" t="s">
        <v>335</v>
      </c>
      <c r="K116" t="s">
        <v>336</v>
      </c>
    </row>
    <row r="117" spans="1:11" x14ac:dyDescent="0.25">
      <c r="A117" s="3">
        <v>46086</v>
      </c>
      <c r="B117" s="5" t="s">
        <v>337</v>
      </c>
      <c r="C117" s="5" t="s">
        <v>337</v>
      </c>
      <c r="D117" s="5" t="s">
        <v>164</v>
      </c>
      <c r="E117" s="4" t="str">
        <f>"00971547854574"</f>
        <v>00971547854574</v>
      </c>
      <c r="F117" s="2" t="s">
        <v>13</v>
      </c>
      <c r="G117" s="2" t="s">
        <v>14</v>
      </c>
      <c r="H117" t="s">
        <v>15</v>
      </c>
      <c r="I117" s="1">
        <v>46086</v>
      </c>
      <c r="J117" t="s">
        <v>338</v>
      </c>
      <c r="K117" t="s">
        <v>339</v>
      </c>
    </row>
    <row r="118" spans="1:11" x14ac:dyDescent="0.25">
      <c r="A118" s="3">
        <v>46086</v>
      </c>
      <c r="B118" s="5" t="s">
        <v>340</v>
      </c>
      <c r="C118" s="5" t="s">
        <v>340</v>
      </c>
      <c r="D118" s="5" t="s">
        <v>164</v>
      </c>
      <c r="E118" s="4" t="str">
        <f>"00971508544418"</f>
        <v>00971508544418</v>
      </c>
      <c r="F118" s="2" t="s">
        <v>13</v>
      </c>
      <c r="G118" s="2" t="s">
        <v>14</v>
      </c>
      <c r="H118" t="s">
        <v>15</v>
      </c>
      <c r="I118" s="1">
        <v>46086</v>
      </c>
      <c r="J118" t="s">
        <v>341</v>
      </c>
      <c r="K118" t="s">
        <v>342</v>
      </c>
    </row>
    <row r="119" spans="1:11" x14ac:dyDescent="0.25">
      <c r="A119" s="3">
        <v>46086</v>
      </c>
      <c r="B119" s="5" t="s">
        <v>343</v>
      </c>
      <c r="C119" s="5" t="s">
        <v>343</v>
      </c>
      <c r="D119" s="5" t="s">
        <v>164</v>
      </c>
      <c r="E119" s="4" t="str">
        <f>"00971502043201"</f>
        <v>00971502043201</v>
      </c>
      <c r="F119" s="2" t="s">
        <v>13</v>
      </c>
      <c r="G119" s="2" t="s">
        <v>14</v>
      </c>
      <c r="H119" t="s">
        <v>15</v>
      </c>
      <c r="I119" s="1">
        <v>46086</v>
      </c>
      <c r="J119" t="s">
        <v>344</v>
      </c>
      <c r="K119" t="s">
        <v>345</v>
      </c>
    </row>
    <row r="120" spans="1:11" x14ac:dyDescent="0.25">
      <c r="A120" s="3">
        <v>46086</v>
      </c>
      <c r="B120" s="5" t="s">
        <v>346</v>
      </c>
      <c r="C120" s="5" t="s">
        <v>346</v>
      </c>
      <c r="D120" s="5" t="s">
        <v>164</v>
      </c>
      <c r="E120" s="4" t="str">
        <f>"00971554403377"</f>
        <v>00971554403377</v>
      </c>
      <c r="F120" s="2" t="s">
        <v>13</v>
      </c>
      <c r="G120" s="2" t="s">
        <v>14</v>
      </c>
      <c r="H120" t="s">
        <v>15</v>
      </c>
      <c r="I120" s="1">
        <v>46086</v>
      </c>
      <c r="J120" t="s">
        <v>347</v>
      </c>
      <c r="K120" t="s">
        <v>348</v>
      </c>
    </row>
    <row r="121" spans="1:11" x14ac:dyDescent="0.25">
      <c r="A121" s="3">
        <v>46086</v>
      </c>
      <c r="B121" s="5" t="s">
        <v>349</v>
      </c>
      <c r="C121" s="5" t="s">
        <v>349</v>
      </c>
      <c r="D121" s="5" t="s">
        <v>164</v>
      </c>
      <c r="E121" s="4" t="str">
        <f>"00971502807031"</f>
        <v>00971502807031</v>
      </c>
      <c r="F121" s="2" t="s">
        <v>13</v>
      </c>
      <c r="G121" s="2" t="s">
        <v>14</v>
      </c>
      <c r="H121" t="s">
        <v>15</v>
      </c>
      <c r="I121" s="1">
        <v>46086</v>
      </c>
      <c r="J121" t="s">
        <v>350</v>
      </c>
      <c r="K121" t="s">
        <v>351</v>
      </c>
    </row>
    <row r="122" spans="1:11" x14ac:dyDescent="0.25">
      <c r="A122" s="3">
        <v>46086</v>
      </c>
      <c r="B122" s="5" t="s">
        <v>352</v>
      </c>
      <c r="C122" s="5" t="s">
        <v>352</v>
      </c>
      <c r="D122" s="5" t="s">
        <v>164</v>
      </c>
      <c r="E122" s="4" t="str">
        <f>"00971506513387"</f>
        <v>00971506513387</v>
      </c>
      <c r="F122" s="2" t="s">
        <v>13</v>
      </c>
      <c r="G122" s="2" t="s">
        <v>14</v>
      </c>
      <c r="H122" t="s">
        <v>15</v>
      </c>
      <c r="I122" s="1">
        <v>46086</v>
      </c>
      <c r="J122" t="s">
        <v>353</v>
      </c>
      <c r="K122" t="s">
        <v>354</v>
      </c>
    </row>
    <row r="123" spans="1:11" x14ac:dyDescent="0.25">
      <c r="A123" s="3">
        <v>46086</v>
      </c>
      <c r="B123" s="5" t="s">
        <v>355</v>
      </c>
      <c r="C123" s="5" t="s">
        <v>355</v>
      </c>
      <c r="D123" s="5" t="s">
        <v>164</v>
      </c>
      <c r="E123" s="4" t="str">
        <f>"00971557072146"</f>
        <v>00971557072146</v>
      </c>
      <c r="F123" s="2" t="s">
        <v>13</v>
      </c>
      <c r="G123" s="2" t="s">
        <v>14</v>
      </c>
      <c r="H123" t="s">
        <v>15</v>
      </c>
      <c r="I123" s="1">
        <v>46086</v>
      </c>
      <c r="J123" t="s">
        <v>356</v>
      </c>
      <c r="K123" t="s">
        <v>357</v>
      </c>
    </row>
    <row r="124" spans="1:11" x14ac:dyDescent="0.25">
      <c r="A124" s="3">
        <v>46086</v>
      </c>
      <c r="B124" s="5" t="s">
        <v>358</v>
      </c>
      <c r="C124" s="5" t="s">
        <v>358</v>
      </c>
      <c r="D124" s="5" t="s">
        <v>164</v>
      </c>
      <c r="E124" s="4" t="str">
        <f>"00971563303078"</f>
        <v>00971563303078</v>
      </c>
      <c r="F124" s="2" t="s">
        <v>13</v>
      </c>
      <c r="G124" s="2" t="s">
        <v>14</v>
      </c>
      <c r="H124" t="s">
        <v>15</v>
      </c>
      <c r="I124" s="1">
        <v>46086</v>
      </c>
      <c r="J124" t="s">
        <v>359</v>
      </c>
      <c r="K124" t="s">
        <v>360</v>
      </c>
    </row>
    <row r="125" spans="1:11" x14ac:dyDescent="0.25">
      <c r="A125" s="3">
        <v>46086</v>
      </c>
      <c r="B125" s="5" t="s">
        <v>361</v>
      </c>
      <c r="C125" s="5" t="s">
        <v>361</v>
      </c>
      <c r="D125" s="5" t="s">
        <v>164</v>
      </c>
      <c r="E125" s="4" t="str">
        <f>"00971503838411"</f>
        <v>00971503838411</v>
      </c>
      <c r="F125" s="2" t="s">
        <v>13</v>
      </c>
      <c r="G125" s="2" t="s">
        <v>14</v>
      </c>
      <c r="H125" t="s">
        <v>15</v>
      </c>
      <c r="I125" s="1">
        <v>46086</v>
      </c>
      <c r="J125" t="s">
        <v>362</v>
      </c>
      <c r="K125" t="s">
        <v>363</v>
      </c>
    </row>
    <row r="126" spans="1:11" x14ac:dyDescent="0.25">
      <c r="A126" s="3">
        <v>46086</v>
      </c>
      <c r="B126" s="5" t="s">
        <v>364</v>
      </c>
      <c r="C126" s="5" t="s">
        <v>364</v>
      </c>
      <c r="D126" s="5" t="s">
        <v>164</v>
      </c>
      <c r="E126" s="4" t="str">
        <f>"00971503547404"</f>
        <v>00971503547404</v>
      </c>
      <c r="F126" s="2" t="s">
        <v>13</v>
      </c>
      <c r="G126" s="2" t="s">
        <v>14</v>
      </c>
      <c r="H126" t="s">
        <v>15</v>
      </c>
      <c r="I126" s="1">
        <v>46086</v>
      </c>
      <c r="J126" t="s">
        <v>365</v>
      </c>
      <c r="K126" t="s">
        <v>366</v>
      </c>
    </row>
    <row r="127" spans="1:11" x14ac:dyDescent="0.25">
      <c r="A127" s="3">
        <v>46086</v>
      </c>
      <c r="B127" s="5" t="s">
        <v>367</v>
      </c>
      <c r="C127" s="5" t="s">
        <v>367</v>
      </c>
      <c r="D127" s="5" t="s">
        <v>164</v>
      </c>
      <c r="E127" s="4" t="str">
        <f>"00971507481047"</f>
        <v>00971507481047</v>
      </c>
      <c r="F127" s="2" t="s">
        <v>13</v>
      </c>
      <c r="G127" s="2" t="s">
        <v>14</v>
      </c>
      <c r="H127" t="s">
        <v>15</v>
      </c>
      <c r="I127" s="1">
        <v>46086</v>
      </c>
      <c r="J127" t="s">
        <v>368</v>
      </c>
      <c r="K127" t="s">
        <v>369</v>
      </c>
    </row>
    <row r="128" spans="1:11" x14ac:dyDescent="0.25">
      <c r="A128" s="3">
        <v>46086</v>
      </c>
      <c r="B128" s="5" t="s">
        <v>370</v>
      </c>
      <c r="C128" s="5" t="s">
        <v>370</v>
      </c>
      <c r="D128" s="5" t="s">
        <v>164</v>
      </c>
      <c r="E128" s="4" t="str">
        <f>"00971561300123"</f>
        <v>00971561300123</v>
      </c>
      <c r="F128" s="2" t="s">
        <v>13</v>
      </c>
      <c r="G128" s="2" t="s">
        <v>14</v>
      </c>
      <c r="H128" t="s">
        <v>15</v>
      </c>
      <c r="I128" s="1">
        <v>46086</v>
      </c>
      <c r="J128" t="s">
        <v>371</v>
      </c>
      <c r="K128" t="s">
        <v>372</v>
      </c>
    </row>
    <row r="129" spans="1:11" x14ac:dyDescent="0.25">
      <c r="A129" s="3">
        <v>46086</v>
      </c>
      <c r="B129" s="5" t="s">
        <v>373</v>
      </c>
      <c r="C129" s="5" t="s">
        <v>373</v>
      </c>
      <c r="D129" s="5" t="s">
        <v>164</v>
      </c>
      <c r="E129" s="4" t="str">
        <f>"00971553028888"</f>
        <v>00971553028888</v>
      </c>
      <c r="F129" s="2" t="s">
        <v>13</v>
      </c>
      <c r="G129" s="2" t="s">
        <v>14</v>
      </c>
      <c r="H129" t="s">
        <v>15</v>
      </c>
      <c r="I129" s="1">
        <v>46086</v>
      </c>
      <c r="J129" t="s">
        <v>374</v>
      </c>
      <c r="K129" t="s">
        <v>375</v>
      </c>
    </row>
    <row r="130" spans="1:11" x14ac:dyDescent="0.25">
      <c r="A130" s="3">
        <v>46086</v>
      </c>
      <c r="B130" s="5" t="s">
        <v>376</v>
      </c>
      <c r="C130" s="5" t="s">
        <v>376</v>
      </c>
      <c r="D130" s="5" t="s">
        <v>164</v>
      </c>
      <c r="E130" s="4" t="str">
        <f>"00971502125898"</f>
        <v>00971502125898</v>
      </c>
      <c r="F130" s="2" t="s">
        <v>13</v>
      </c>
      <c r="G130" s="2" t="s">
        <v>14</v>
      </c>
      <c r="H130" t="s">
        <v>15</v>
      </c>
      <c r="I130" s="1">
        <v>46086</v>
      </c>
      <c r="J130" t="s">
        <v>377</v>
      </c>
      <c r="K130" t="s">
        <v>378</v>
      </c>
    </row>
    <row r="131" spans="1:11" x14ac:dyDescent="0.25">
      <c r="A131" s="3">
        <v>46086</v>
      </c>
      <c r="B131" s="5" t="s">
        <v>376</v>
      </c>
      <c r="C131" s="5" t="s">
        <v>376</v>
      </c>
      <c r="D131" s="5" t="s">
        <v>164</v>
      </c>
      <c r="E131" s="4" t="str">
        <f>"00971562040553"</f>
        <v>00971562040553</v>
      </c>
      <c r="F131" s="2" t="s">
        <v>13</v>
      </c>
      <c r="G131" s="2" t="s">
        <v>14</v>
      </c>
      <c r="H131" t="s">
        <v>15</v>
      </c>
      <c r="I131" s="1">
        <v>46086</v>
      </c>
      <c r="J131" t="s">
        <v>377</v>
      </c>
      <c r="K131" t="s">
        <v>379</v>
      </c>
    </row>
    <row r="132" spans="1:11" x14ac:dyDescent="0.25">
      <c r="A132" s="3">
        <v>46086</v>
      </c>
      <c r="B132" s="5" t="s">
        <v>380</v>
      </c>
      <c r="C132" s="5" t="s">
        <v>380</v>
      </c>
      <c r="D132" s="5" t="s">
        <v>164</v>
      </c>
      <c r="E132" s="4" t="str">
        <f>"00971543470278"</f>
        <v>00971543470278</v>
      </c>
      <c r="F132" s="2" t="s">
        <v>13</v>
      </c>
      <c r="G132" s="2" t="s">
        <v>14</v>
      </c>
      <c r="H132" t="s">
        <v>15</v>
      </c>
      <c r="I132" s="1">
        <v>46086</v>
      </c>
      <c r="J132" t="s">
        <v>381</v>
      </c>
      <c r="K132" t="s">
        <v>382</v>
      </c>
    </row>
    <row r="133" spans="1:11" x14ac:dyDescent="0.25">
      <c r="A133" s="3">
        <v>46086</v>
      </c>
      <c r="B133" s="5" t="s">
        <v>383</v>
      </c>
      <c r="C133" s="5" t="s">
        <v>383</v>
      </c>
      <c r="D133" s="5" t="s">
        <v>164</v>
      </c>
      <c r="E133" s="4" t="str">
        <f>"00971566090684"</f>
        <v>00971566090684</v>
      </c>
      <c r="F133" s="2" t="s">
        <v>13</v>
      </c>
      <c r="G133" s="2" t="s">
        <v>14</v>
      </c>
      <c r="H133" t="s">
        <v>15</v>
      </c>
      <c r="I133" s="1">
        <v>46086</v>
      </c>
      <c r="J133" t="s">
        <v>384</v>
      </c>
      <c r="K133" t="s">
        <v>385</v>
      </c>
    </row>
    <row r="134" spans="1:11" x14ac:dyDescent="0.25">
      <c r="A134" s="3">
        <v>46086</v>
      </c>
      <c r="B134" s="5" t="s">
        <v>386</v>
      </c>
      <c r="C134" s="5" t="s">
        <v>386</v>
      </c>
      <c r="D134" s="5" t="s">
        <v>164</v>
      </c>
      <c r="E134" s="4" t="str">
        <f>"00971565909369"</f>
        <v>00971565909369</v>
      </c>
      <c r="F134" s="2" t="s">
        <v>13</v>
      </c>
      <c r="G134" s="2" t="s">
        <v>14</v>
      </c>
      <c r="H134" t="s">
        <v>15</v>
      </c>
      <c r="I134" s="1">
        <v>46086</v>
      </c>
      <c r="J134" t="s">
        <v>387</v>
      </c>
      <c r="K134" t="s">
        <v>388</v>
      </c>
    </row>
    <row r="135" spans="1:11" x14ac:dyDescent="0.25">
      <c r="A135" s="3">
        <v>46086</v>
      </c>
      <c r="B135" s="5" t="s">
        <v>389</v>
      </c>
      <c r="C135" s="5" t="s">
        <v>389</v>
      </c>
      <c r="D135" s="5" t="s">
        <v>164</v>
      </c>
      <c r="E135" s="4" t="str">
        <f>"00971551034834"</f>
        <v>00971551034834</v>
      </c>
      <c r="F135" s="2" t="s">
        <v>13</v>
      </c>
      <c r="G135" s="2" t="s">
        <v>14</v>
      </c>
      <c r="H135" t="s">
        <v>15</v>
      </c>
      <c r="I135" s="1">
        <v>46086</v>
      </c>
      <c r="J135" t="s">
        <v>390</v>
      </c>
      <c r="K135" t="s">
        <v>391</v>
      </c>
    </row>
    <row r="136" spans="1:11" x14ac:dyDescent="0.25">
      <c r="A136" s="3">
        <v>46086</v>
      </c>
      <c r="B136" s="5" t="s">
        <v>392</v>
      </c>
      <c r="C136" s="5" t="s">
        <v>392</v>
      </c>
      <c r="D136" s="5" t="s">
        <v>164</v>
      </c>
      <c r="E136" s="4" t="str">
        <f>"00971504361786"</f>
        <v>00971504361786</v>
      </c>
      <c r="F136" s="2" t="s">
        <v>13</v>
      </c>
      <c r="G136" s="2" t="s">
        <v>14</v>
      </c>
      <c r="H136" t="s">
        <v>15</v>
      </c>
      <c r="I136" s="1">
        <v>46086</v>
      </c>
      <c r="J136" t="s">
        <v>393</v>
      </c>
      <c r="K136" t="s">
        <v>394</v>
      </c>
    </row>
    <row r="137" spans="1:11" x14ac:dyDescent="0.25">
      <c r="A137" s="3">
        <v>46086</v>
      </c>
      <c r="B137" s="5" t="s">
        <v>395</v>
      </c>
      <c r="C137" s="5" t="s">
        <v>395</v>
      </c>
      <c r="D137" s="5" t="s">
        <v>164</v>
      </c>
      <c r="E137" s="4" t="str">
        <f>"00971502461201"</f>
        <v>00971502461201</v>
      </c>
      <c r="F137" s="2" t="s">
        <v>13</v>
      </c>
      <c r="G137" s="2" t="s">
        <v>14</v>
      </c>
      <c r="H137" t="s">
        <v>15</v>
      </c>
      <c r="I137" s="1">
        <v>46086</v>
      </c>
      <c r="J137" t="s">
        <v>396</v>
      </c>
      <c r="K137" t="s">
        <v>397</v>
      </c>
    </row>
    <row r="138" spans="1:11" x14ac:dyDescent="0.25">
      <c r="A138" s="3">
        <v>46086</v>
      </c>
      <c r="B138" s="5" t="s">
        <v>398</v>
      </c>
      <c r="C138" s="5" t="s">
        <v>398</v>
      </c>
      <c r="D138" s="5" t="s">
        <v>164</v>
      </c>
      <c r="E138" s="4" t="str">
        <f>"00971556633061"</f>
        <v>00971556633061</v>
      </c>
      <c r="F138" s="2" t="s">
        <v>13</v>
      </c>
      <c r="G138" s="2" t="s">
        <v>14</v>
      </c>
      <c r="H138" t="s">
        <v>15</v>
      </c>
      <c r="I138" s="1">
        <v>46086</v>
      </c>
      <c r="J138" t="s">
        <v>399</v>
      </c>
      <c r="K138" t="s">
        <v>400</v>
      </c>
    </row>
    <row r="139" spans="1:11" x14ac:dyDescent="0.25">
      <c r="A139" s="3">
        <v>46086</v>
      </c>
      <c r="B139" s="5" t="s">
        <v>401</v>
      </c>
      <c r="C139" s="5" t="s">
        <v>401</v>
      </c>
      <c r="D139" s="5" t="s">
        <v>164</v>
      </c>
      <c r="E139" s="4" t="str">
        <f>"00971553010654"</f>
        <v>00971553010654</v>
      </c>
      <c r="F139" s="2" t="s">
        <v>13</v>
      </c>
      <c r="G139" s="2" t="s">
        <v>14</v>
      </c>
      <c r="H139" t="s">
        <v>15</v>
      </c>
      <c r="I139" s="1">
        <v>46086</v>
      </c>
      <c r="J139" t="s">
        <v>402</v>
      </c>
      <c r="K139" t="s">
        <v>403</v>
      </c>
    </row>
    <row r="140" spans="1:11" x14ac:dyDescent="0.25">
      <c r="A140" s="3">
        <v>46086</v>
      </c>
      <c r="B140" s="5" t="s">
        <v>404</v>
      </c>
      <c r="C140" s="5" t="s">
        <v>404</v>
      </c>
      <c r="D140" s="5" t="s">
        <v>164</v>
      </c>
      <c r="E140" s="4" t="str">
        <f>"00971568032675"</f>
        <v>00971568032675</v>
      </c>
      <c r="F140" s="2" t="s">
        <v>13</v>
      </c>
      <c r="G140" s="2" t="s">
        <v>14</v>
      </c>
      <c r="H140" t="s">
        <v>15</v>
      </c>
      <c r="I140" s="1">
        <v>46086</v>
      </c>
      <c r="J140" t="s">
        <v>405</v>
      </c>
      <c r="K140" t="s">
        <v>406</v>
      </c>
    </row>
    <row r="141" spans="1:11" x14ac:dyDescent="0.25">
      <c r="A141" s="3">
        <v>46086</v>
      </c>
      <c r="B141" s="5" t="s">
        <v>407</v>
      </c>
      <c r="C141" s="5" t="s">
        <v>407</v>
      </c>
      <c r="D141" s="5" t="s">
        <v>164</v>
      </c>
      <c r="E141" s="4" t="str">
        <f>"00971559713897"</f>
        <v>00971559713897</v>
      </c>
      <c r="F141" s="2" t="s">
        <v>13</v>
      </c>
      <c r="G141" s="2" t="s">
        <v>14</v>
      </c>
      <c r="H141" t="s">
        <v>15</v>
      </c>
      <c r="I141" s="1">
        <v>46086</v>
      </c>
      <c r="J141" t="s">
        <v>408</v>
      </c>
      <c r="K141" t="s">
        <v>409</v>
      </c>
    </row>
    <row r="142" spans="1:11" x14ac:dyDescent="0.25">
      <c r="A142" s="3">
        <v>46086</v>
      </c>
      <c r="B142" s="5" t="s">
        <v>410</v>
      </c>
      <c r="C142" s="5" t="s">
        <v>410</v>
      </c>
      <c r="D142" s="5" t="s">
        <v>164</v>
      </c>
      <c r="E142" s="4" t="str">
        <f>"00971504610878"</f>
        <v>00971504610878</v>
      </c>
      <c r="F142" s="2" t="s">
        <v>13</v>
      </c>
      <c r="G142" s="2" t="s">
        <v>14</v>
      </c>
      <c r="H142" t="s">
        <v>15</v>
      </c>
      <c r="I142" s="1">
        <v>46086</v>
      </c>
      <c r="J142" t="s">
        <v>411</v>
      </c>
      <c r="K142" t="s">
        <v>412</v>
      </c>
    </row>
    <row r="143" spans="1:11" x14ac:dyDescent="0.25">
      <c r="A143" s="3">
        <v>46086</v>
      </c>
      <c r="B143" s="5" t="s">
        <v>413</v>
      </c>
      <c r="C143" s="5" t="s">
        <v>413</v>
      </c>
      <c r="D143" s="5" t="s">
        <v>164</v>
      </c>
      <c r="E143" s="4" t="str">
        <f>"00971526444814"</f>
        <v>00971526444814</v>
      </c>
      <c r="F143" s="2" t="s">
        <v>13</v>
      </c>
      <c r="G143" s="2" t="s">
        <v>14</v>
      </c>
      <c r="H143" t="s">
        <v>15</v>
      </c>
      <c r="I143" s="1">
        <v>46086</v>
      </c>
      <c r="J143" t="s">
        <v>414</v>
      </c>
      <c r="K143" t="s">
        <v>415</v>
      </c>
    </row>
    <row r="144" spans="1:11" x14ac:dyDescent="0.25">
      <c r="A144" s="3">
        <v>46086</v>
      </c>
      <c r="B144" s="5" t="s">
        <v>416</v>
      </c>
      <c r="C144" s="5" t="s">
        <v>416</v>
      </c>
      <c r="D144" s="5" t="s">
        <v>164</v>
      </c>
      <c r="E144" s="4" t="str">
        <f>"00971502691194"</f>
        <v>00971502691194</v>
      </c>
      <c r="F144" s="2" t="s">
        <v>13</v>
      </c>
      <c r="G144" s="2" t="s">
        <v>14</v>
      </c>
      <c r="H144" t="s">
        <v>15</v>
      </c>
      <c r="I144" s="1">
        <v>46086</v>
      </c>
      <c r="J144" t="s">
        <v>417</v>
      </c>
      <c r="K144" t="s">
        <v>418</v>
      </c>
    </row>
    <row r="145" spans="1:11" x14ac:dyDescent="0.25">
      <c r="A145" s="3">
        <v>46086</v>
      </c>
      <c r="B145" s="5" t="s">
        <v>419</v>
      </c>
      <c r="C145" s="5" t="s">
        <v>419</v>
      </c>
      <c r="D145" s="5" t="s">
        <v>164</v>
      </c>
      <c r="E145" s="4" t="str">
        <f>"00971559945900"</f>
        <v>00971559945900</v>
      </c>
      <c r="F145" s="2" t="s">
        <v>13</v>
      </c>
      <c r="G145" s="2" t="s">
        <v>14</v>
      </c>
      <c r="H145" t="s">
        <v>15</v>
      </c>
      <c r="I145" s="1">
        <v>46086</v>
      </c>
      <c r="J145" t="s">
        <v>420</v>
      </c>
      <c r="K145" t="s">
        <v>421</v>
      </c>
    </row>
    <row r="146" spans="1:11" x14ac:dyDescent="0.25">
      <c r="A146" s="3">
        <v>46086</v>
      </c>
      <c r="B146" s="5" t="s">
        <v>422</v>
      </c>
      <c r="C146" s="5" t="s">
        <v>422</v>
      </c>
      <c r="D146" s="5" t="s">
        <v>164</v>
      </c>
      <c r="E146" s="4" t="str">
        <f>"00971544475367"</f>
        <v>00971544475367</v>
      </c>
      <c r="F146" s="2" t="s">
        <v>13</v>
      </c>
      <c r="G146" s="2" t="s">
        <v>14</v>
      </c>
      <c r="H146" t="s">
        <v>15</v>
      </c>
      <c r="I146" s="1">
        <v>46086</v>
      </c>
      <c r="J146" t="s">
        <v>423</v>
      </c>
      <c r="K146" t="s">
        <v>424</v>
      </c>
    </row>
    <row r="147" spans="1:11" x14ac:dyDescent="0.25">
      <c r="A147" s="3">
        <v>46086</v>
      </c>
      <c r="B147" s="5" t="s">
        <v>425</v>
      </c>
      <c r="C147" s="5" t="s">
        <v>425</v>
      </c>
      <c r="D147" s="5" t="s">
        <v>164</v>
      </c>
      <c r="E147" s="4" t="str">
        <f>"00971544226786"</f>
        <v>00971544226786</v>
      </c>
      <c r="F147" s="2" t="s">
        <v>13</v>
      </c>
      <c r="G147" s="2" t="s">
        <v>14</v>
      </c>
      <c r="H147" t="s">
        <v>15</v>
      </c>
      <c r="I147" s="1">
        <v>46086</v>
      </c>
      <c r="J147" t="s">
        <v>426</v>
      </c>
      <c r="K147" t="s">
        <v>427</v>
      </c>
    </row>
    <row r="148" spans="1:11" x14ac:dyDescent="0.25">
      <c r="A148" s="3">
        <v>46086</v>
      </c>
      <c r="B148" s="5" t="s">
        <v>428</v>
      </c>
      <c r="C148" s="5" t="s">
        <v>428</v>
      </c>
      <c r="D148" s="5" t="s">
        <v>164</v>
      </c>
      <c r="E148" s="4" t="str">
        <f>"00971554090300"</f>
        <v>00971554090300</v>
      </c>
      <c r="F148" s="2" t="s">
        <v>13</v>
      </c>
      <c r="G148" s="2" t="s">
        <v>14</v>
      </c>
      <c r="H148" t="s">
        <v>15</v>
      </c>
      <c r="I148" s="1">
        <v>46086</v>
      </c>
      <c r="J148" t="s">
        <v>429</v>
      </c>
      <c r="K148" t="s">
        <v>430</v>
      </c>
    </row>
    <row r="149" spans="1:11" x14ac:dyDescent="0.25">
      <c r="A149" s="3">
        <v>46086</v>
      </c>
      <c r="B149" s="5" t="s">
        <v>431</v>
      </c>
      <c r="C149" s="5" t="s">
        <v>431</v>
      </c>
      <c r="D149" s="5" t="s">
        <v>164</v>
      </c>
      <c r="E149" s="4" t="str">
        <f>"00971521819966"</f>
        <v>00971521819966</v>
      </c>
      <c r="F149" s="2" t="s">
        <v>13</v>
      </c>
      <c r="G149" s="2" t="s">
        <v>14</v>
      </c>
      <c r="H149" t="s">
        <v>15</v>
      </c>
      <c r="I149" s="1">
        <v>46086</v>
      </c>
      <c r="J149" t="s">
        <v>432</v>
      </c>
      <c r="K149" t="s">
        <v>433</v>
      </c>
    </row>
    <row r="150" spans="1:11" x14ac:dyDescent="0.25">
      <c r="A150" s="3">
        <v>46086</v>
      </c>
      <c r="B150" s="5" t="s">
        <v>434</v>
      </c>
      <c r="C150" s="5" t="s">
        <v>434</v>
      </c>
      <c r="D150" s="5" t="s">
        <v>164</v>
      </c>
      <c r="E150" s="4" t="str">
        <f>"00971526411804"</f>
        <v>00971526411804</v>
      </c>
      <c r="F150" s="2" t="s">
        <v>13</v>
      </c>
      <c r="G150" s="2" t="s">
        <v>14</v>
      </c>
      <c r="H150" t="s">
        <v>15</v>
      </c>
      <c r="I150" s="1">
        <v>46086</v>
      </c>
      <c r="J150" t="s">
        <v>435</v>
      </c>
      <c r="K150" t="s">
        <v>436</v>
      </c>
    </row>
    <row r="151" spans="1:11" x14ac:dyDescent="0.25">
      <c r="A151" s="3">
        <v>46086</v>
      </c>
      <c r="B151" s="5" t="s">
        <v>437</v>
      </c>
      <c r="C151" s="5" t="s">
        <v>437</v>
      </c>
      <c r="D151" s="5" t="s">
        <v>164</v>
      </c>
      <c r="E151" s="4" t="str">
        <f>"00971564605826"</f>
        <v>00971564605826</v>
      </c>
      <c r="F151" s="2" t="s">
        <v>13</v>
      </c>
      <c r="G151" s="2" t="s">
        <v>14</v>
      </c>
      <c r="H151" t="s">
        <v>15</v>
      </c>
      <c r="I151" s="1">
        <v>46086</v>
      </c>
      <c r="J151" t="s">
        <v>438</v>
      </c>
      <c r="K151" t="s">
        <v>439</v>
      </c>
    </row>
    <row r="152" spans="1:11" x14ac:dyDescent="0.25">
      <c r="A152" s="3">
        <v>46086</v>
      </c>
      <c r="B152" s="5" t="s">
        <v>440</v>
      </c>
      <c r="C152" s="5" t="s">
        <v>440</v>
      </c>
      <c r="D152" s="5" t="s">
        <v>164</v>
      </c>
      <c r="E152" s="4" t="str">
        <f>"00971529939246"</f>
        <v>00971529939246</v>
      </c>
      <c r="F152" s="2" t="s">
        <v>13</v>
      </c>
      <c r="G152" s="2" t="s">
        <v>14</v>
      </c>
      <c r="H152" t="s">
        <v>15</v>
      </c>
      <c r="I152" s="1">
        <v>46086</v>
      </c>
      <c r="J152" t="s">
        <v>441</v>
      </c>
      <c r="K152" t="s">
        <v>442</v>
      </c>
    </row>
    <row r="153" spans="1:11" x14ac:dyDescent="0.25">
      <c r="A153" s="3">
        <v>46086</v>
      </c>
      <c r="B153" s="5" t="s">
        <v>443</v>
      </c>
      <c r="C153" s="5" t="s">
        <v>443</v>
      </c>
      <c r="D153" s="5" t="s">
        <v>164</v>
      </c>
      <c r="E153" s="4" t="str">
        <f>"00971588934015"</f>
        <v>00971588934015</v>
      </c>
      <c r="F153" s="2" t="s">
        <v>13</v>
      </c>
      <c r="G153" s="2" t="s">
        <v>14</v>
      </c>
      <c r="H153" t="s">
        <v>15</v>
      </c>
      <c r="I153" s="1">
        <v>46086</v>
      </c>
      <c r="J153" t="s">
        <v>444</v>
      </c>
      <c r="K153" t="s">
        <v>445</v>
      </c>
    </row>
    <row r="154" spans="1:11" x14ac:dyDescent="0.25">
      <c r="A154" s="3">
        <v>46086</v>
      </c>
      <c r="B154" s="5" t="s">
        <v>126</v>
      </c>
      <c r="C154" s="5" t="s">
        <v>126</v>
      </c>
      <c r="D154" s="5" t="s">
        <v>164</v>
      </c>
      <c r="E154" s="4" t="str">
        <f>"00971527042823"</f>
        <v>00971527042823</v>
      </c>
      <c r="F154" s="2" t="s">
        <v>13</v>
      </c>
      <c r="G154" s="2" t="s">
        <v>14</v>
      </c>
      <c r="H154" t="s">
        <v>15</v>
      </c>
      <c r="I154" s="1">
        <v>46086</v>
      </c>
      <c r="J154" t="s">
        <v>446</v>
      </c>
      <c r="K154" t="s">
        <v>447</v>
      </c>
    </row>
    <row r="155" spans="1:11" x14ac:dyDescent="0.25">
      <c r="A155" s="3">
        <v>46086</v>
      </c>
      <c r="B155" s="5" t="s">
        <v>126</v>
      </c>
      <c r="C155" s="5" t="s">
        <v>126</v>
      </c>
      <c r="D155" s="5" t="s">
        <v>164</v>
      </c>
      <c r="E155" s="4" t="str">
        <f>"00971555229706"</f>
        <v>00971555229706</v>
      </c>
      <c r="F155" s="2" t="s">
        <v>13</v>
      </c>
      <c r="G155" s="2" t="s">
        <v>14</v>
      </c>
      <c r="H155" t="s">
        <v>15</v>
      </c>
      <c r="I155" s="1">
        <v>46086</v>
      </c>
      <c r="J155" t="s">
        <v>446</v>
      </c>
      <c r="K155" t="s">
        <v>448</v>
      </c>
    </row>
    <row r="156" spans="1:11" x14ac:dyDescent="0.25">
      <c r="A156" s="3">
        <v>46086</v>
      </c>
      <c r="B156" s="5" t="s">
        <v>449</v>
      </c>
      <c r="C156" s="5" t="s">
        <v>449</v>
      </c>
      <c r="D156" s="5" t="s">
        <v>164</v>
      </c>
      <c r="E156" s="4" t="str">
        <f>"00971553535226"</f>
        <v>00971553535226</v>
      </c>
      <c r="F156" s="2" t="s">
        <v>13</v>
      </c>
      <c r="G156" s="2" t="s">
        <v>14</v>
      </c>
      <c r="H156" t="s">
        <v>15</v>
      </c>
      <c r="I156" s="1">
        <v>46086</v>
      </c>
      <c r="J156" t="s">
        <v>450</v>
      </c>
      <c r="K156" t="s">
        <v>451</v>
      </c>
    </row>
    <row r="157" spans="1:11" x14ac:dyDescent="0.25">
      <c r="A157" s="3">
        <v>46086</v>
      </c>
      <c r="B157" s="5" t="s">
        <v>452</v>
      </c>
      <c r="C157" s="5" t="s">
        <v>452</v>
      </c>
      <c r="D157" s="5" t="s">
        <v>164</v>
      </c>
      <c r="E157" s="4" t="str">
        <f>"00971585874879"</f>
        <v>00971585874879</v>
      </c>
      <c r="F157" s="2" t="s">
        <v>13</v>
      </c>
      <c r="G157" s="2" t="s">
        <v>14</v>
      </c>
      <c r="H157" t="s">
        <v>15</v>
      </c>
      <c r="I157" s="1">
        <v>46086</v>
      </c>
      <c r="J157" t="s">
        <v>453</v>
      </c>
      <c r="K157" t="s">
        <v>454</v>
      </c>
    </row>
    <row r="158" spans="1:11" x14ac:dyDescent="0.25">
      <c r="A158" s="3">
        <v>46086</v>
      </c>
      <c r="B158" s="5" t="s">
        <v>455</v>
      </c>
      <c r="C158" s="5" t="s">
        <v>455</v>
      </c>
      <c r="D158" s="5" t="s">
        <v>164</v>
      </c>
      <c r="E158" s="4" t="str">
        <f>"00971557697230"</f>
        <v>00971557697230</v>
      </c>
      <c r="F158" s="2" t="s">
        <v>13</v>
      </c>
      <c r="G158" s="2" t="s">
        <v>14</v>
      </c>
      <c r="H158" t="s">
        <v>15</v>
      </c>
      <c r="I158" s="1">
        <v>46086</v>
      </c>
      <c r="J158" t="s">
        <v>456</v>
      </c>
      <c r="K158" t="s">
        <v>457</v>
      </c>
    </row>
    <row r="159" spans="1:11" x14ac:dyDescent="0.25">
      <c r="A159" s="3">
        <v>46086</v>
      </c>
      <c r="B159" s="5" t="s">
        <v>458</v>
      </c>
      <c r="C159" s="5" t="s">
        <v>458</v>
      </c>
      <c r="D159" s="5" t="s">
        <v>164</v>
      </c>
      <c r="E159" s="4" t="str">
        <f>"00971525812406"</f>
        <v>00971525812406</v>
      </c>
      <c r="F159" s="2" t="s">
        <v>13</v>
      </c>
      <c r="G159" s="2" t="s">
        <v>14</v>
      </c>
      <c r="H159" t="s">
        <v>15</v>
      </c>
      <c r="I159" s="1">
        <v>46086</v>
      </c>
      <c r="J159" t="s">
        <v>459</v>
      </c>
      <c r="K159" t="s">
        <v>460</v>
      </c>
    </row>
    <row r="160" spans="1:11" x14ac:dyDescent="0.25">
      <c r="A160" s="3">
        <v>46086</v>
      </c>
      <c r="B160" s="5" t="s">
        <v>461</v>
      </c>
      <c r="C160" s="5" t="s">
        <v>461</v>
      </c>
      <c r="D160" s="5" t="s">
        <v>164</v>
      </c>
      <c r="E160" s="4" t="str">
        <f>"00971586131585"</f>
        <v>00971586131585</v>
      </c>
      <c r="F160" s="2" t="s">
        <v>13</v>
      </c>
      <c r="G160" s="2" t="s">
        <v>14</v>
      </c>
      <c r="H160" t="s">
        <v>15</v>
      </c>
      <c r="I160" s="1">
        <v>46086</v>
      </c>
      <c r="J160" t="s">
        <v>462</v>
      </c>
      <c r="K160" t="s">
        <v>463</v>
      </c>
    </row>
    <row r="161" spans="1:11" x14ac:dyDescent="0.25">
      <c r="A161" s="3">
        <v>46086</v>
      </c>
      <c r="B161" s="5" t="s">
        <v>464</v>
      </c>
      <c r="C161" s="5" t="s">
        <v>464</v>
      </c>
      <c r="D161" s="5" t="s">
        <v>164</v>
      </c>
      <c r="E161" s="4" t="str">
        <f>"00971564971284"</f>
        <v>00971564971284</v>
      </c>
      <c r="F161" s="2" t="s">
        <v>13</v>
      </c>
      <c r="G161" s="2" t="s">
        <v>14</v>
      </c>
      <c r="H161" t="s">
        <v>15</v>
      </c>
      <c r="I161" s="1">
        <v>46086</v>
      </c>
      <c r="J161" t="s">
        <v>465</v>
      </c>
      <c r="K161" t="s">
        <v>466</v>
      </c>
    </row>
    <row r="162" spans="1:11" x14ac:dyDescent="0.25">
      <c r="A162" s="3">
        <v>46086</v>
      </c>
      <c r="B162" s="5" t="s">
        <v>467</v>
      </c>
      <c r="C162" s="5" t="s">
        <v>467</v>
      </c>
      <c r="D162" s="5" t="s">
        <v>164</v>
      </c>
      <c r="E162" s="4" t="str">
        <f>"00971564170555"</f>
        <v>00971564170555</v>
      </c>
      <c r="F162" s="2" t="s">
        <v>13</v>
      </c>
      <c r="G162" s="2" t="s">
        <v>14</v>
      </c>
      <c r="H162" t="s">
        <v>15</v>
      </c>
      <c r="I162" s="1">
        <v>46086</v>
      </c>
      <c r="J162" t="s">
        <v>468</v>
      </c>
      <c r="K162" t="s">
        <v>469</v>
      </c>
    </row>
    <row r="163" spans="1:11" x14ac:dyDescent="0.25">
      <c r="A163" s="3">
        <v>46086</v>
      </c>
      <c r="B163" s="5" t="s">
        <v>470</v>
      </c>
      <c r="C163" s="5" t="s">
        <v>470</v>
      </c>
      <c r="D163" s="5" t="s">
        <v>164</v>
      </c>
      <c r="E163" s="4" t="str">
        <f>"00971555521108"</f>
        <v>00971555521108</v>
      </c>
      <c r="F163" s="2" t="s">
        <v>13</v>
      </c>
      <c r="G163" s="2" t="s">
        <v>14</v>
      </c>
      <c r="H163" t="s">
        <v>15</v>
      </c>
      <c r="I163" s="1">
        <v>46086</v>
      </c>
      <c r="J163" t="s">
        <v>471</v>
      </c>
      <c r="K163" t="s">
        <v>472</v>
      </c>
    </row>
    <row r="164" spans="1:11" x14ac:dyDescent="0.25">
      <c r="A164" s="3">
        <v>46086</v>
      </c>
      <c r="B164" s="5" t="s">
        <v>473</v>
      </c>
      <c r="C164" s="5" t="s">
        <v>473</v>
      </c>
      <c r="D164" s="5" t="s">
        <v>164</v>
      </c>
      <c r="E164" s="4" t="str">
        <f>"00971508765847"</f>
        <v>00971508765847</v>
      </c>
      <c r="F164" s="2" t="s">
        <v>13</v>
      </c>
      <c r="G164" s="2" t="s">
        <v>14</v>
      </c>
      <c r="H164" t="s">
        <v>15</v>
      </c>
      <c r="I164" s="1">
        <v>46086</v>
      </c>
      <c r="J164" t="s">
        <v>474</v>
      </c>
      <c r="K164" t="s">
        <v>475</v>
      </c>
    </row>
    <row r="165" spans="1:11" x14ac:dyDescent="0.25">
      <c r="A165" s="3">
        <v>46086</v>
      </c>
      <c r="B165" s="5" t="s">
        <v>473</v>
      </c>
      <c r="C165" s="5" t="s">
        <v>473</v>
      </c>
      <c r="D165" s="5" t="s">
        <v>164</v>
      </c>
      <c r="E165" s="4" t="str">
        <f>"00971522116786"</f>
        <v>00971522116786</v>
      </c>
      <c r="F165" s="2" t="s">
        <v>13</v>
      </c>
      <c r="G165" s="2" t="s">
        <v>14</v>
      </c>
      <c r="H165" t="s">
        <v>15</v>
      </c>
      <c r="I165" s="1">
        <v>46086</v>
      </c>
      <c r="J165" t="s">
        <v>474</v>
      </c>
      <c r="K165" t="s">
        <v>476</v>
      </c>
    </row>
    <row r="166" spans="1:11" x14ac:dyDescent="0.25">
      <c r="A166" s="3">
        <v>46086</v>
      </c>
      <c r="B166" s="5" t="s">
        <v>477</v>
      </c>
      <c r="C166" s="5" t="s">
        <v>477</v>
      </c>
      <c r="D166" s="5" t="s">
        <v>164</v>
      </c>
      <c r="E166" s="4" t="str">
        <f>"00971555293874"</f>
        <v>00971555293874</v>
      </c>
      <c r="F166" s="2" t="s">
        <v>13</v>
      </c>
      <c r="G166" s="2" t="s">
        <v>14</v>
      </c>
      <c r="H166" t="s">
        <v>15</v>
      </c>
      <c r="I166" s="1">
        <v>46086</v>
      </c>
      <c r="J166" t="s">
        <v>478</v>
      </c>
      <c r="K166" t="s">
        <v>479</v>
      </c>
    </row>
    <row r="167" spans="1:11" x14ac:dyDescent="0.25">
      <c r="A167" s="3">
        <v>46086</v>
      </c>
      <c r="B167" s="5" t="s">
        <v>480</v>
      </c>
      <c r="C167" s="5" t="s">
        <v>480</v>
      </c>
      <c r="D167" s="5" t="s">
        <v>164</v>
      </c>
      <c r="E167" s="4" t="str">
        <f>"00971506746193"</f>
        <v>00971506746193</v>
      </c>
      <c r="F167" s="2" t="s">
        <v>13</v>
      </c>
      <c r="G167" s="2" t="s">
        <v>14</v>
      </c>
      <c r="H167" t="s">
        <v>15</v>
      </c>
      <c r="I167" s="1">
        <v>46086</v>
      </c>
      <c r="J167" t="s">
        <v>481</v>
      </c>
      <c r="K167" t="s">
        <v>482</v>
      </c>
    </row>
    <row r="168" spans="1:11" x14ac:dyDescent="0.25">
      <c r="A168" s="3">
        <v>46086</v>
      </c>
      <c r="B168" s="5" t="s">
        <v>483</v>
      </c>
      <c r="C168" s="5" t="s">
        <v>483</v>
      </c>
      <c r="D168" s="5" t="s">
        <v>164</v>
      </c>
      <c r="E168" s="4" t="str">
        <f>"00971528216358"</f>
        <v>00971528216358</v>
      </c>
      <c r="F168" s="2" t="s">
        <v>13</v>
      </c>
      <c r="G168" s="2" t="s">
        <v>14</v>
      </c>
      <c r="H168" t="s">
        <v>15</v>
      </c>
      <c r="I168" s="1">
        <v>46086</v>
      </c>
      <c r="J168" t="s">
        <v>484</v>
      </c>
      <c r="K168" t="s">
        <v>485</v>
      </c>
    </row>
    <row r="169" spans="1:11" x14ac:dyDescent="0.25">
      <c r="A169" s="3">
        <v>46086</v>
      </c>
      <c r="B169" s="5" t="s">
        <v>486</v>
      </c>
      <c r="C169" s="5" t="s">
        <v>486</v>
      </c>
      <c r="D169" s="5" t="s">
        <v>164</v>
      </c>
      <c r="E169" s="4" t="str">
        <f>"00971529665544"</f>
        <v>00971529665544</v>
      </c>
      <c r="F169" s="2" t="s">
        <v>13</v>
      </c>
      <c r="G169" s="2" t="s">
        <v>14</v>
      </c>
      <c r="H169" t="s">
        <v>15</v>
      </c>
      <c r="I169" s="1">
        <v>46086</v>
      </c>
      <c r="J169" t="s">
        <v>487</v>
      </c>
      <c r="K169" t="s">
        <v>488</v>
      </c>
    </row>
    <row r="170" spans="1:11" x14ac:dyDescent="0.25">
      <c r="A170" s="3">
        <v>46086</v>
      </c>
      <c r="B170" s="5" t="s">
        <v>489</v>
      </c>
      <c r="C170" s="5" t="s">
        <v>489</v>
      </c>
      <c r="D170" s="5" t="s">
        <v>164</v>
      </c>
      <c r="E170" s="4" t="str">
        <f>"00971561400112"</f>
        <v>00971561400112</v>
      </c>
      <c r="F170" s="2" t="s">
        <v>13</v>
      </c>
      <c r="G170" s="2" t="s">
        <v>14</v>
      </c>
      <c r="H170" t="s">
        <v>15</v>
      </c>
      <c r="I170" s="1">
        <v>46086</v>
      </c>
      <c r="J170" t="s">
        <v>490</v>
      </c>
      <c r="K170" t="s">
        <v>491</v>
      </c>
    </row>
    <row r="171" spans="1:11" x14ac:dyDescent="0.25">
      <c r="A171" s="3">
        <v>46086</v>
      </c>
      <c r="B171" s="5" t="s">
        <v>492</v>
      </c>
      <c r="C171" s="5" t="s">
        <v>492</v>
      </c>
      <c r="D171" s="5" t="s">
        <v>164</v>
      </c>
      <c r="E171" s="4" t="str">
        <f>"00971502213359"</f>
        <v>00971502213359</v>
      </c>
      <c r="F171" s="2" t="s">
        <v>13</v>
      </c>
      <c r="G171" s="2" t="s">
        <v>14</v>
      </c>
      <c r="H171" t="s">
        <v>15</v>
      </c>
      <c r="I171" s="1">
        <v>46086</v>
      </c>
      <c r="J171" t="s">
        <v>493</v>
      </c>
      <c r="K171" t="s">
        <v>494</v>
      </c>
    </row>
    <row r="172" spans="1:11" x14ac:dyDescent="0.25">
      <c r="A172" s="3">
        <v>46086</v>
      </c>
      <c r="B172" s="5" t="s">
        <v>495</v>
      </c>
      <c r="C172" s="5" t="s">
        <v>495</v>
      </c>
      <c r="D172" s="5" t="s">
        <v>164</v>
      </c>
      <c r="E172" s="4" t="str">
        <f>"00971558607943"</f>
        <v>00971558607943</v>
      </c>
      <c r="F172" s="2" t="s">
        <v>13</v>
      </c>
      <c r="G172" s="2" t="s">
        <v>14</v>
      </c>
      <c r="H172" t="s">
        <v>15</v>
      </c>
      <c r="I172" s="1">
        <v>46086</v>
      </c>
      <c r="J172" t="s">
        <v>496</v>
      </c>
      <c r="K172" t="s">
        <v>497</v>
      </c>
    </row>
    <row r="173" spans="1:11" x14ac:dyDescent="0.25">
      <c r="A173" s="3">
        <v>46086</v>
      </c>
      <c r="B173" s="5" t="s">
        <v>495</v>
      </c>
      <c r="C173" s="5" t="s">
        <v>495</v>
      </c>
      <c r="D173" s="5" t="s">
        <v>164</v>
      </c>
      <c r="E173" s="4" t="str">
        <f>"00971561937863"</f>
        <v>00971561937863</v>
      </c>
      <c r="F173" s="2" t="s">
        <v>13</v>
      </c>
      <c r="G173" s="2" t="s">
        <v>14</v>
      </c>
      <c r="H173" t="s">
        <v>15</v>
      </c>
      <c r="I173" s="1">
        <v>46086</v>
      </c>
      <c r="J173" t="s">
        <v>496</v>
      </c>
      <c r="K173" t="s">
        <v>498</v>
      </c>
    </row>
    <row r="174" spans="1:11" x14ac:dyDescent="0.25">
      <c r="A174" s="3">
        <v>46086</v>
      </c>
      <c r="B174" s="5" t="s">
        <v>499</v>
      </c>
      <c r="C174" s="5" t="s">
        <v>499</v>
      </c>
      <c r="D174" s="5" t="s">
        <v>164</v>
      </c>
      <c r="E174" s="4" t="str">
        <f>"00971526401884"</f>
        <v>00971526401884</v>
      </c>
      <c r="F174" s="2" t="s">
        <v>13</v>
      </c>
      <c r="G174" s="2" t="s">
        <v>14</v>
      </c>
      <c r="H174" t="s">
        <v>15</v>
      </c>
      <c r="I174" s="1">
        <v>46086</v>
      </c>
      <c r="J174" t="s">
        <v>500</v>
      </c>
      <c r="K174" t="s">
        <v>501</v>
      </c>
    </row>
    <row r="175" spans="1:11" x14ac:dyDescent="0.25">
      <c r="A175" s="3">
        <v>46086</v>
      </c>
      <c r="B175" s="5" t="s">
        <v>502</v>
      </c>
      <c r="C175" s="5" t="s">
        <v>502</v>
      </c>
      <c r="D175" s="5" t="s">
        <v>164</v>
      </c>
      <c r="E175" s="4" t="str">
        <f>"00971501428777"</f>
        <v>00971501428777</v>
      </c>
      <c r="F175" s="2" t="s">
        <v>13</v>
      </c>
      <c r="G175" s="2" t="s">
        <v>14</v>
      </c>
      <c r="H175" t="s">
        <v>15</v>
      </c>
      <c r="I175" s="1">
        <v>46086</v>
      </c>
      <c r="J175" t="s">
        <v>503</v>
      </c>
      <c r="K175" t="s">
        <v>504</v>
      </c>
    </row>
    <row r="176" spans="1:11" x14ac:dyDescent="0.25">
      <c r="A176" s="3">
        <v>46086</v>
      </c>
      <c r="B176" s="5" t="s">
        <v>505</v>
      </c>
      <c r="C176" s="5" t="s">
        <v>505</v>
      </c>
      <c r="D176" s="5" t="s">
        <v>164</v>
      </c>
      <c r="E176" s="4" t="str">
        <f>"00971508759775"</f>
        <v>00971508759775</v>
      </c>
      <c r="F176" s="2" t="s">
        <v>13</v>
      </c>
      <c r="G176" s="2" t="s">
        <v>14</v>
      </c>
      <c r="H176" t="s">
        <v>15</v>
      </c>
      <c r="I176" s="1">
        <v>46086</v>
      </c>
      <c r="J176" t="s">
        <v>506</v>
      </c>
      <c r="K176" t="s">
        <v>507</v>
      </c>
    </row>
    <row r="177" spans="1:11" x14ac:dyDescent="0.25">
      <c r="A177" s="3">
        <v>46086</v>
      </c>
      <c r="B177" s="5" t="s">
        <v>508</v>
      </c>
      <c r="C177" s="5" t="s">
        <v>508</v>
      </c>
      <c r="D177" s="5" t="s">
        <v>164</v>
      </c>
      <c r="E177" s="4" t="str">
        <f>"00971504941678"</f>
        <v>00971504941678</v>
      </c>
      <c r="F177" s="2" t="s">
        <v>13</v>
      </c>
      <c r="G177" s="2" t="s">
        <v>14</v>
      </c>
      <c r="H177" t="s">
        <v>15</v>
      </c>
      <c r="I177" s="1">
        <v>46086</v>
      </c>
      <c r="J177" t="s">
        <v>509</v>
      </c>
      <c r="K177" t="s">
        <v>510</v>
      </c>
    </row>
    <row r="178" spans="1:11" x14ac:dyDescent="0.25">
      <c r="A178" s="3">
        <v>46086</v>
      </c>
      <c r="B178" s="5" t="s">
        <v>511</v>
      </c>
      <c r="C178" s="5" t="s">
        <v>511</v>
      </c>
      <c r="D178" s="5" t="s">
        <v>164</v>
      </c>
      <c r="E178" s="4" t="str">
        <f>"00971527261880"</f>
        <v>00971527261880</v>
      </c>
      <c r="F178" s="2" t="s">
        <v>13</v>
      </c>
      <c r="G178" s="2" t="s">
        <v>14</v>
      </c>
      <c r="H178" t="s">
        <v>15</v>
      </c>
      <c r="I178" s="1">
        <v>46086</v>
      </c>
      <c r="J178" t="s">
        <v>512</v>
      </c>
      <c r="K178" t="s">
        <v>513</v>
      </c>
    </row>
    <row r="179" spans="1:11" x14ac:dyDescent="0.25">
      <c r="A179" s="3">
        <v>46086</v>
      </c>
      <c r="B179" s="5" t="s">
        <v>514</v>
      </c>
      <c r="C179" s="5" t="s">
        <v>514</v>
      </c>
      <c r="D179" s="5" t="s">
        <v>164</v>
      </c>
      <c r="E179" s="4" t="str">
        <f>"00971523655193"</f>
        <v>00971523655193</v>
      </c>
      <c r="F179" s="2" t="s">
        <v>13</v>
      </c>
      <c r="G179" s="2" t="s">
        <v>14</v>
      </c>
      <c r="H179" t="s">
        <v>15</v>
      </c>
      <c r="I179" s="1">
        <v>46086</v>
      </c>
      <c r="J179" t="s">
        <v>515</v>
      </c>
      <c r="K179" t="s">
        <v>516</v>
      </c>
    </row>
    <row r="180" spans="1:11" x14ac:dyDescent="0.25">
      <c r="A180" s="3">
        <v>46086</v>
      </c>
      <c r="B180" s="5" t="s">
        <v>517</v>
      </c>
      <c r="C180" s="5" t="s">
        <v>517</v>
      </c>
      <c r="D180" s="5" t="s">
        <v>164</v>
      </c>
      <c r="E180" s="4" t="str">
        <f>"00971585134481"</f>
        <v>00971585134481</v>
      </c>
      <c r="F180" s="2" t="s">
        <v>13</v>
      </c>
      <c r="G180" s="2" t="s">
        <v>14</v>
      </c>
      <c r="H180" t="s">
        <v>15</v>
      </c>
      <c r="I180" s="1">
        <v>46086</v>
      </c>
      <c r="J180" t="s">
        <v>518</v>
      </c>
      <c r="K180" t="s">
        <v>519</v>
      </c>
    </row>
    <row r="181" spans="1:11" x14ac:dyDescent="0.25">
      <c r="A181" s="3">
        <v>46086</v>
      </c>
      <c r="B181" s="5" t="s">
        <v>520</v>
      </c>
      <c r="C181" s="5" t="s">
        <v>520</v>
      </c>
      <c r="D181" s="5" t="s">
        <v>164</v>
      </c>
      <c r="E181" s="4" t="str">
        <f>"00971557481813"</f>
        <v>00971557481813</v>
      </c>
      <c r="F181" s="2" t="s">
        <v>13</v>
      </c>
      <c r="G181" s="2" t="s">
        <v>14</v>
      </c>
      <c r="H181" t="s">
        <v>15</v>
      </c>
      <c r="I181" s="1">
        <v>46086</v>
      </c>
      <c r="J181" t="s">
        <v>521</v>
      </c>
      <c r="K181" t="s">
        <v>522</v>
      </c>
    </row>
    <row r="182" spans="1:11" x14ac:dyDescent="0.25">
      <c r="A182" s="3">
        <v>46086</v>
      </c>
      <c r="B182" s="5" t="s">
        <v>523</v>
      </c>
      <c r="C182" s="5" t="s">
        <v>523</v>
      </c>
      <c r="D182" s="5" t="s">
        <v>164</v>
      </c>
      <c r="E182" s="4" t="str">
        <f>"00971561756670"</f>
        <v>00971561756670</v>
      </c>
      <c r="F182" s="2" t="s">
        <v>13</v>
      </c>
      <c r="G182" s="2" t="s">
        <v>14</v>
      </c>
      <c r="H182" t="s">
        <v>15</v>
      </c>
      <c r="I182" s="1">
        <v>46086</v>
      </c>
      <c r="J182" t="s">
        <v>524</v>
      </c>
      <c r="K182" t="s">
        <v>525</v>
      </c>
    </row>
    <row r="183" spans="1:11" x14ac:dyDescent="0.25">
      <c r="A183" s="3">
        <v>46086</v>
      </c>
      <c r="B183" s="5" t="s">
        <v>526</v>
      </c>
      <c r="C183" s="5" t="s">
        <v>526</v>
      </c>
      <c r="D183" s="5" t="s">
        <v>164</v>
      </c>
      <c r="E183" s="4" t="str">
        <f>"00971552900350"</f>
        <v>00971552900350</v>
      </c>
      <c r="F183" s="2" t="s">
        <v>13</v>
      </c>
      <c r="G183" s="2" t="s">
        <v>14</v>
      </c>
      <c r="H183" t="s">
        <v>15</v>
      </c>
      <c r="I183" s="1">
        <v>46086</v>
      </c>
      <c r="J183" t="s">
        <v>527</v>
      </c>
      <c r="K183" t="s">
        <v>528</v>
      </c>
    </row>
    <row r="184" spans="1:11" x14ac:dyDescent="0.25">
      <c r="A184" s="3">
        <v>46086</v>
      </c>
      <c r="B184" s="5" t="s">
        <v>529</v>
      </c>
      <c r="C184" s="5" t="s">
        <v>529</v>
      </c>
      <c r="D184" s="5" t="s">
        <v>164</v>
      </c>
      <c r="E184" s="4" t="str">
        <f>"00971554940671"</f>
        <v>00971554940671</v>
      </c>
      <c r="F184" s="2" t="s">
        <v>13</v>
      </c>
      <c r="G184" s="2" t="s">
        <v>14</v>
      </c>
      <c r="H184" t="s">
        <v>15</v>
      </c>
      <c r="I184" s="1">
        <v>46086</v>
      </c>
      <c r="J184" t="s">
        <v>530</v>
      </c>
      <c r="K184" t="s">
        <v>531</v>
      </c>
    </row>
    <row r="185" spans="1:11" x14ac:dyDescent="0.25">
      <c r="A185" s="3">
        <v>46086</v>
      </c>
      <c r="B185" s="5" t="s">
        <v>532</v>
      </c>
      <c r="C185" s="5" t="s">
        <v>532</v>
      </c>
      <c r="D185" s="5" t="s">
        <v>164</v>
      </c>
      <c r="E185" s="4" t="str">
        <f>"00971568003575"</f>
        <v>00971568003575</v>
      </c>
      <c r="F185" s="2" t="s">
        <v>13</v>
      </c>
      <c r="G185" s="2" t="s">
        <v>14</v>
      </c>
      <c r="H185" t="s">
        <v>15</v>
      </c>
      <c r="I185" s="1">
        <v>46086</v>
      </c>
      <c r="J185" t="s">
        <v>533</v>
      </c>
      <c r="K185" t="s">
        <v>534</v>
      </c>
    </row>
    <row r="186" spans="1:11" x14ac:dyDescent="0.25">
      <c r="A186" s="3">
        <v>46086</v>
      </c>
      <c r="B186" s="5" t="s">
        <v>535</v>
      </c>
      <c r="C186" s="5" t="s">
        <v>535</v>
      </c>
      <c r="D186" s="5" t="s">
        <v>164</v>
      </c>
      <c r="E186" s="4" t="str">
        <f>"00971552868849"</f>
        <v>00971552868849</v>
      </c>
      <c r="F186" s="2" t="s">
        <v>13</v>
      </c>
      <c r="G186" s="2" t="s">
        <v>14</v>
      </c>
      <c r="H186" t="s">
        <v>15</v>
      </c>
      <c r="I186" s="1">
        <v>46086</v>
      </c>
      <c r="J186" t="s">
        <v>536</v>
      </c>
      <c r="K186" t="s">
        <v>537</v>
      </c>
    </row>
    <row r="187" spans="1:11" x14ac:dyDescent="0.25">
      <c r="A187" s="3">
        <v>46086</v>
      </c>
      <c r="B187" s="5" t="s">
        <v>538</v>
      </c>
      <c r="C187" s="5" t="s">
        <v>538</v>
      </c>
      <c r="D187" s="5" t="s">
        <v>164</v>
      </c>
      <c r="E187" s="4" t="str">
        <f>"00971566719699"</f>
        <v>00971566719699</v>
      </c>
      <c r="F187" s="2" t="s">
        <v>13</v>
      </c>
      <c r="G187" s="2" t="s">
        <v>14</v>
      </c>
      <c r="H187" t="s">
        <v>15</v>
      </c>
      <c r="I187" s="1">
        <v>46086</v>
      </c>
      <c r="J187" t="s">
        <v>539</v>
      </c>
      <c r="K187" t="s">
        <v>540</v>
      </c>
    </row>
    <row r="188" spans="1:11" x14ac:dyDescent="0.25">
      <c r="A188" s="3">
        <v>46086</v>
      </c>
      <c r="B188" s="5" t="s">
        <v>541</v>
      </c>
      <c r="C188" s="5" t="s">
        <v>541</v>
      </c>
      <c r="D188" s="5" t="s">
        <v>164</v>
      </c>
      <c r="E188" s="4" t="str">
        <f>"00971545819255"</f>
        <v>00971545819255</v>
      </c>
      <c r="F188" s="2" t="s">
        <v>13</v>
      </c>
      <c r="G188" s="2" t="s">
        <v>14</v>
      </c>
      <c r="H188" t="s">
        <v>15</v>
      </c>
      <c r="I188" s="1">
        <v>46086</v>
      </c>
      <c r="J188" t="s">
        <v>542</v>
      </c>
      <c r="K188" t="s">
        <v>543</v>
      </c>
    </row>
    <row r="189" spans="1:11" x14ac:dyDescent="0.25">
      <c r="A189" s="3">
        <v>46086</v>
      </c>
      <c r="B189" s="5" t="s">
        <v>544</v>
      </c>
      <c r="C189" s="5" t="s">
        <v>544</v>
      </c>
      <c r="D189" s="5" t="s">
        <v>164</v>
      </c>
      <c r="E189" s="4" t="str">
        <f>"00971525267586"</f>
        <v>00971525267586</v>
      </c>
      <c r="F189" s="2" t="s">
        <v>13</v>
      </c>
      <c r="G189" s="2" t="s">
        <v>14</v>
      </c>
      <c r="H189" t="s">
        <v>15</v>
      </c>
      <c r="I189" s="1">
        <v>46086</v>
      </c>
      <c r="J189" t="s">
        <v>545</v>
      </c>
      <c r="K189" t="s">
        <v>546</v>
      </c>
    </row>
    <row r="190" spans="1:11" x14ac:dyDescent="0.25">
      <c r="A190" s="3">
        <v>46086</v>
      </c>
      <c r="B190" s="5" t="s">
        <v>547</v>
      </c>
      <c r="C190" s="5" t="s">
        <v>547</v>
      </c>
      <c r="D190" s="5" t="s">
        <v>164</v>
      </c>
      <c r="E190" s="4" t="str">
        <f>"00971507864065"</f>
        <v>00971507864065</v>
      </c>
      <c r="F190" s="2" t="s">
        <v>13</v>
      </c>
      <c r="G190" s="2" t="s">
        <v>14</v>
      </c>
      <c r="H190" t="s">
        <v>15</v>
      </c>
      <c r="I190" s="1">
        <v>46086</v>
      </c>
      <c r="J190" t="s">
        <v>548</v>
      </c>
      <c r="K190" t="s">
        <v>549</v>
      </c>
    </row>
    <row r="191" spans="1:11" x14ac:dyDescent="0.25">
      <c r="A191" s="3">
        <v>46086</v>
      </c>
      <c r="B191" s="5" t="s">
        <v>550</v>
      </c>
      <c r="C191" s="5" t="s">
        <v>550</v>
      </c>
      <c r="D191" s="5" t="s">
        <v>164</v>
      </c>
      <c r="E191" s="4" t="str">
        <f>"00971557867806"</f>
        <v>00971557867806</v>
      </c>
      <c r="F191" s="2" t="s">
        <v>13</v>
      </c>
      <c r="G191" s="2" t="s">
        <v>14</v>
      </c>
      <c r="H191" t="s">
        <v>15</v>
      </c>
      <c r="I191" s="1">
        <v>46086</v>
      </c>
      <c r="J191" t="s">
        <v>551</v>
      </c>
      <c r="K191" t="s">
        <v>552</v>
      </c>
    </row>
    <row r="192" spans="1:11" x14ac:dyDescent="0.25">
      <c r="A192" s="3">
        <v>46086</v>
      </c>
      <c r="B192" s="5" t="s">
        <v>553</v>
      </c>
      <c r="C192" s="5" t="s">
        <v>553</v>
      </c>
      <c r="D192" s="5" t="s">
        <v>164</v>
      </c>
      <c r="E192" s="4" t="str">
        <f>"00971506475047"</f>
        <v>00971506475047</v>
      </c>
      <c r="F192" s="2" t="s">
        <v>13</v>
      </c>
      <c r="G192" s="2" t="s">
        <v>14</v>
      </c>
      <c r="H192" t="s">
        <v>15</v>
      </c>
      <c r="I192" s="1">
        <v>46086</v>
      </c>
      <c r="J192" t="s">
        <v>554</v>
      </c>
      <c r="K192" t="s">
        <v>555</v>
      </c>
    </row>
    <row r="193" spans="1:11" x14ac:dyDescent="0.25">
      <c r="A193" s="3">
        <v>46086</v>
      </c>
      <c r="B193" s="5" t="s">
        <v>556</v>
      </c>
      <c r="C193" s="5" t="s">
        <v>556</v>
      </c>
      <c r="D193" s="5" t="s">
        <v>164</v>
      </c>
      <c r="E193" s="4" t="str">
        <f>"00971551313403"</f>
        <v>00971551313403</v>
      </c>
      <c r="F193" s="2" t="s">
        <v>13</v>
      </c>
      <c r="G193" s="2" t="s">
        <v>14</v>
      </c>
      <c r="H193" t="s">
        <v>15</v>
      </c>
      <c r="I193" s="1">
        <v>46086</v>
      </c>
      <c r="J193" t="s">
        <v>557</v>
      </c>
      <c r="K193" t="s">
        <v>558</v>
      </c>
    </row>
    <row r="194" spans="1:11" x14ac:dyDescent="0.25">
      <c r="A194" s="3">
        <v>46086</v>
      </c>
      <c r="B194" s="5" t="s">
        <v>559</v>
      </c>
      <c r="C194" s="5" t="s">
        <v>559</v>
      </c>
      <c r="D194" s="5" t="s">
        <v>164</v>
      </c>
      <c r="E194" s="4" t="str">
        <f>"00971505183044"</f>
        <v>00971505183044</v>
      </c>
      <c r="F194" s="2" t="s">
        <v>13</v>
      </c>
      <c r="G194" s="2" t="s">
        <v>14</v>
      </c>
      <c r="H194" t="s">
        <v>15</v>
      </c>
      <c r="I194" s="1">
        <v>46086</v>
      </c>
      <c r="J194" t="s">
        <v>560</v>
      </c>
      <c r="K194" t="s">
        <v>561</v>
      </c>
    </row>
    <row r="195" spans="1:11" x14ac:dyDescent="0.25">
      <c r="A195" s="3">
        <v>46086</v>
      </c>
      <c r="B195" s="5" t="s">
        <v>562</v>
      </c>
      <c r="C195" s="5" t="s">
        <v>562</v>
      </c>
      <c r="D195" s="5" t="s">
        <v>164</v>
      </c>
      <c r="E195" s="4" t="str">
        <f>"00971506443673"</f>
        <v>00971506443673</v>
      </c>
      <c r="F195" s="2" t="s">
        <v>13</v>
      </c>
      <c r="G195" s="2" t="s">
        <v>14</v>
      </c>
      <c r="H195" t="s">
        <v>15</v>
      </c>
      <c r="I195" s="1">
        <v>46086</v>
      </c>
      <c r="J195" t="s">
        <v>563</v>
      </c>
      <c r="K195" t="s">
        <v>564</v>
      </c>
    </row>
    <row r="196" spans="1:11" x14ac:dyDescent="0.25">
      <c r="A196" s="3">
        <v>46086</v>
      </c>
      <c r="B196" s="5" t="s">
        <v>565</v>
      </c>
      <c r="C196" s="5" t="s">
        <v>565</v>
      </c>
      <c r="D196" s="5" t="s">
        <v>164</v>
      </c>
      <c r="E196" s="4" t="str">
        <f>"00971504539661"</f>
        <v>00971504539661</v>
      </c>
      <c r="F196" s="2" t="s">
        <v>13</v>
      </c>
      <c r="G196" s="2" t="s">
        <v>14</v>
      </c>
      <c r="H196" t="s">
        <v>15</v>
      </c>
      <c r="I196" s="1">
        <v>46086</v>
      </c>
      <c r="J196" t="s">
        <v>566</v>
      </c>
      <c r="K196" t="s">
        <v>567</v>
      </c>
    </row>
    <row r="197" spans="1:11" x14ac:dyDescent="0.25">
      <c r="A197" s="3">
        <v>46086</v>
      </c>
      <c r="B197" s="5" t="s">
        <v>568</v>
      </c>
      <c r="C197" s="5" t="s">
        <v>568</v>
      </c>
      <c r="D197" s="5" t="s">
        <v>164</v>
      </c>
      <c r="E197" s="4" t="str">
        <f>"00971569949945"</f>
        <v>00971569949945</v>
      </c>
      <c r="F197" s="2" t="s">
        <v>13</v>
      </c>
      <c r="G197" s="2" t="s">
        <v>14</v>
      </c>
      <c r="H197" t="s">
        <v>15</v>
      </c>
      <c r="I197" s="1">
        <v>46086</v>
      </c>
      <c r="J197" t="s">
        <v>569</v>
      </c>
      <c r="K197" t="s">
        <v>570</v>
      </c>
    </row>
    <row r="198" spans="1:11" x14ac:dyDescent="0.25">
      <c r="A198" s="3">
        <v>46086</v>
      </c>
      <c r="B198" s="5" t="s">
        <v>571</v>
      </c>
      <c r="C198" s="5" t="s">
        <v>571</v>
      </c>
      <c r="D198" s="5" t="s">
        <v>164</v>
      </c>
      <c r="E198" s="4" t="str">
        <f>"00971559871279"</f>
        <v>00971559871279</v>
      </c>
      <c r="F198" s="2" t="s">
        <v>13</v>
      </c>
      <c r="G198" s="2" t="s">
        <v>14</v>
      </c>
      <c r="H198" t="s">
        <v>15</v>
      </c>
      <c r="I198" s="1">
        <v>46086</v>
      </c>
      <c r="J198" t="s">
        <v>572</v>
      </c>
      <c r="K198" t="s">
        <v>573</v>
      </c>
    </row>
    <row r="199" spans="1:11" x14ac:dyDescent="0.25">
      <c r="A199" s="3">
        <v>46086</v>
      </c>
      <c r="B199" s="5" t="s">
        <v>574</v>
      </c>
      <c r="C199" s="5" t="s">
        <v>574</v>
      </c>
      <c r="D199" s="5" t="s">
        <v>164</v>
      </c>
      <c r="E199" s="4" t="str">
        <f>"00971565395357"</f>
        <v>00971565395357</v>
      </c>
      <c r="F199" s="2" t="s">
        <v>13</v>
      </c>
      <c r="G199" s="2" t="s">
        <v>14</v>
      </c>
      <c r="H199" t="s">
        <v>15</v>
      </c>
      <c r="I199" s="1">
        <v>46086</v>
      </c>
      <c r="J199" t="s">
        <v>575</v>
      </c>
      <c r="K199" t="s">
        <v>576</v>
      </c>
    </row>
    <row r="200" spans="1:11" x14ac:dyDescent="0.25">
      <c r="A200" s="3">
        <v>46086</v>
      </c>
      <c r="B200" s="5" t="s">
        <v>577</v>
      </c>
      <c r="C200" s="5" t="s">
        <v>577</v>
      </c>
      <c r="D200" s="5" t="s">
        <v>164</v>
      </c>
      <c r="E200" s="4" t="str">
        <f>"00971565395357"</f>
        <v>00971565395357</v>
      </c>
      <c r="F200" s="2" t="s">
        <v>13</v>
      </c>
      <c r="G200" s="2" t="s">
        <v>14</v>
      </c>
      <c r="H200" t="s">
        <v>15</v>
      </c>
      <c r="I200" s="1">
        <v>46086</v>
      </c>
      <c r="J200" t="s">
        <v>578</v>
      </c>
      <c r="K200" t="s">
        <v>579</v>
      </c>
    </row>
    <row r="201" spans="1:11" x14ac:dyDescent="0.25">
      <c r="A201" s="3">
        <v>46086</v>
      </c>
      <c r="B201" s="5" t="s">
        <v>580</v>
      </c>
      <c r="C201" s="5" t="s">
        <v>580</v>
      </c>
      <c r="D201" s="5" t="s">
        <v>164</v>
      </c>
      <c r="E201" s="4" t="str">
        <f>"00971557984874"</f>
        <v>00971557984874</v>
      </c>
      <c r="F201" s="2" t="s">
        <v>13</v>
      </c>
      <c r="G201" s="2" t="s">
        <v>14</v>
      </c>
      <c r="H201" t="s">
        <v>15</v>
      </c>
      <c r="I201" s="1">
        <v>46086</v>
      </c>
      <c r="J201" t="s">
        <v>581</v>
      </c>
      <c r="K201" t="s">
        <v>582</v>
      </c>
    </row>
    <row r="202" spans="1:11" x14ac:dyDescent="0.25">
      <c r="A202" s="3">
        <v>46086</v>
      </c>
      <c r="B202" s="5" t="s">
        <v>583</v>
      </c>
      <c r="C202" s="5" t="s">
        <v>583</v>
      </c>
      <c r="D202" s="5" t="s">
        <v>164</v>
      </c>
      <c r="E202" s="4" t="str">
        <f>"00971543414174"</f>
        <v>00971543414174</v>
      </c>
      <c r="F202" s="2" t="s">
        <v>13</v>
      </c>
      <c r="G202" s="2" t="s">
        <v>14</v>
      </c>
      <c r="H202" t="s">
        <v>15</v>
      </c>
      <c r="I202" s="1">
        <v>46086</v>
      </c>
      <c r="J202" t="s">
        <v>584</v>
      </c>
      <c r="K202" t="s">
        <v>585</v>
      </c>
    </row>
    <row r="203" spans="1:11" x14ac:dyDescent="0.25">
      <c r="A203" s="3">
        <v>46086</v>
      </c>
      <c r="B203" s="5" t="s">
        <v>583</v>
      </c>
      <c r="C203" s="5" t="s">
        <v>583</v>
      </c>
      <c r="D203" s="5" t="s">
        <v>164</v>
      </c>
      <c r="E203" s="4" t="str">
        <f>"00971545619999"</f>
        <v>00971545619999</v>
      </c>
      <c r="F203" s="2" t="s">
        <v>13</v>
      </c>
      <c r="G203" s="2" t="s">
        <v>14</v>
      </c>
      <c r="H203" t="s">
        <v>15</v>
      </c>
      <c r="I203" s="1">
        <v>46086</v>
      </c>
      <c r="J203" t="s">
        <v>584</v>
      </c>
      <c r="K203" t="s">
        <v>586</v>
      </c>
    </row>
    <row r="204" spans="1:11" x14ac:dyDescent="0.25">
      <c r="A204" s="3">
        <v>46086</v>
      </c>
      <c r="B204" s="5" t="s">
        <v>587</v>
      </c>
      <c r="C204" s="5" t="s">
        <v>587</v>
      </c>
      <c r="D204" s="5" t="s">
        <v>164</v>
      </c>
      <c r="E204" s="4" t="str">
        <f>"00971509434873"</f>
        <v>00971509434873</v>
      </c>
      <c r="F204" s="2" t="s">
        <v>13</v>
      </c>
      <c r="G204" s="2" t="s">
        <v>14</v>
      </c>
      <c r="H204" t="s">
        <v>15</v>
      </c>
      <c r="I204" s="1">
        <v>46086</v>
      </c>
      <c r="J204" t="s">
        <v>588</v>
      </c>
      <c r="K204" t="s">
        <v>589</v>
      </c>
    </row>
    <row r="205" spans="1:11" x14ac:dyDescent="0.25">
      <c r="A205" s="3">
        <v>46086</v>
      </c>
      <c r="B205" s="5" t="s">
        <v>590</v>
      </c>
      <c r="C205" s="5" t="s">
        <v>590</v>
      </c>
      <c r="D205" s="5" t="s">
        <v>164</v>
      </c>
      <c r="E205" s="4" t="str">
        <f>"00971562537958"</f>
        <v>00971562537958</v>
      </c>
      <c r="F205" s="2" t="s">
        <v>13</v>
      </c>
      <c r="G205" s="2" t="s">
        <v>14</v>
      </c>
      <c r="H205" t="s">
        <v>15</v>
      </c>
      <c r="I205" s="1">
        <v>46086</v>
      </c>
      <c r="J205" t="s">
        <v>591</v>
      </c>
      <c r="K205" t="s">
        <v>592</v>
      </c>
    </row>
    <row r="206" spans="1:11" x14ac:dyDescent="0.25">
      <c r="A206" s="3">
        <v>46086</v>
      </c>
      <c r="B206" s="5" t="s">
        <v>593</v>
      </c>
      <c r="C206" s="5" t="s">
        <v>593</v>
      </c>
      <c r="D206" s="5" t="s">
        <v>164</v>
      </c>
      <c r="E206" s="4" t="str">
        <f>"00971551273439"</f>
        <v>00971551273439</v>
      </c>
      <c r="F206" s="2" t="s">
        <v>13</v>
      </c>
      <c r="G206" s="2" t="s">
        <v>14</v>
      </c>
      <c r="H206" t="s">
        <v>15</v>
      </c>
      <c r="I206" s="1">
        <v>46086</v>
      </c>
      <c r="J206" t="s">
        <v>594</v>
      </c>
      <c r="K206" t="s">
        <v>595</v>
      </c>
    </row>
    <row r="207" spans="1:11" x14ac:dyDescent="0.25">
      <c r="A207" s="3">
        <v>46086</v>
      </c>
      <c r="B207" s="5" t="s">
        <v>596</v>
      </c>
      <c r="C207" s="5" t="s">
        <v>596</v>
      </c>
      <c r="D207" s="5" t="s">
        <v>164</v>
      </c>
      <c r="E207" s="4" t="str">
        <f>"00971503506375"</f>
        <v>00971503506375</v>
      </c>
      <c r="F207" s="2" t="s">
        <v>13</v>
      </c>
      <c r="G207" s="2" t="s">
        <v>14</v>
      </c>
      <c r="H207" t="s">
        <v>15</v>
      </c>
      <c r="I207" s="1">
        <v>46086</v>
      </c>
      <c r="J207" t="s">
        <v>597</v>
      </c>
      <c r="K207" t="s">
        <v>598</v>
      </c>
    </row>
    <row r="208" spans="1:11" x14ac:dyDescent="0.25">
      <c r="A208" s="3">
        <v>46086</v>
      </c>
      <c r="B208" s="5" t="s">
        <v>599</v>
      </c>
      <c r="C208" s="5" t="s">
        <v>599</v>
      </c>
      <c r="D208" s="5" t="s">
        <v>164</v>
      </c>
      <c r="E208" s="4" t="str">
        <f>"00971508375841"</f>
        <v>00971508375841</v>
      </c>
      <c r="F208" s="2" t="s">
        <v>13</v>
      </c>
      <c r="G208" s="2" t="s">
        <v>14</v>
      </c>
      <c r="H208" t="s">
        <v>15</v>
      </c>
      <c r="I208" s="1">
        <v>46086</v>
      </c>
      <c r="J208" t="s">
        <v>600</v>
      </c>
      <c r="K208" t="s">
        <v>601</v>
      </c>
    </row>
    <row r="209" spans="1:11" x14ac:dyDescent="0.25">
      <c r="A209" s="3">
        <v>46086</v>
      </c>
      <c r="B209" s="5" t="s">
        <v>602</v>
      </c>
      <c r="C209" s="5" t="s">
        <v>602</v>
      </c>
      <c r="D209" s="5" t="s">
        <v>164</v>
      </c>
      <c r="E209" s="4" t="str">
        <f>"00971501255750"</f>
        <v>00971501255750</v>
      </c>
      <c r="F209" s="2" t="s">
        <v>13</v>
      </c>
      <c r="G209" s="2" t="s">
        <v>14</v>
      </c>
      <c r="H209" t="s">
        <v>15</v>
      </c>
      <c r="I209" s="1">
        <v>46086</v>
      </c>
      <c r="J209" t="s">
        <v>603</v>
      </c>
      <c r="K209" t="s">
        <v>604</v>
      </c>
    </row>
    <row r="210" spans="1:11" x14ac:dyDescent="0.25">
      <c r="A210" s="3">
        <v>46086</v>
      </c>
      <c r="B210" s="5" t="s">
        <v>602</v>
      </c>
      <c r="C210" s="5" t="s">
        <v>602</v>
      </c>
      <c r="D210" s="5" t="s">
        <v>164</v>
      </c>
      <c r="E210" s="4" t="str">
        <f>"00971564920009"</f>
        <v>00971564920009</v>
      </c>
      <c r="F210" s="2" t="s">
        <v>13</v>
      </c>
      <c r="G210" s="2" t="s">
        <v>14</v>
      </c>
      <c r="H210" t="s">
        <v>15</v>
      </c>
      <c r="I210" s="1">
        <v>46086</v>
      </c>
      <c r="J210" t="s">
        <v>603</v>
      </c>
      <c r="K210" t="s">
        <v>605</v>
      </c>
    </row>
    <row r="211" spans="1:11" x14ac:dyDescent="0.25">
      <c r="A211" s="3">
        <v>46086</v>
      </c>
      <c r="B211" s="5" t="s">
        <v>606</v>
      </c>
      <c r="C211" s="5" t="s">
        <v>606</v>
      </c>
      <c r="D211" s="5" t="s">
        <v>164</v>
      </c>
      <c r="E211" s="4" t="str">
        <f>"00971551972222"</f>
        <v>00971551972222</v>
      </c>
      <c r="F211" s="2" t="s">
        <v>13</v>
      </c>
      <c r="G211" s="2" t="s">
        <v>14</v>
      </c>
      <c r="H211" t="s">
        <v>15</v>
      </c>
      <c r="I211" s="1">
        <v>46086</v>
      </c>
      <c r="J211" t="s">
        <v>607</v>
      </c>
      <c r="K211" t="s">
        <v>608</v>
      </c>
    </row>
    <row r="212" spans="1:11" x14ac:dyDescent="0.25">
      <c r="A212" s="3">
        <v>46086</v>
      </c>
      <c r="B212" s="5" t="s">
        <v>609</v>
      </c>
      <c r="C212" s="5" t="s">
        <v>609</v>
      </c>
      <c r="D212" s="5" t="s">
        <v>164</v>
      </c>
      <c r="E212" s="4" t="str">
        <f>"00971552850082"</f>
        <v>00971552850082</v>
      </c>
      <c r="F212" s="2" t="s">
        <v>13</v>
      </c>
      <c r="G212" s="2" t="s">
        <v>14</v>
      </c>
      <c r="H212" t="s">
        <v>15</v>
      </c>
      <c r="I212" s="1">
        <v>46086</v>
      </c>
      <c r="J212" t="s">
        <v>610</v>
      </c>
      <c r="K212" t="s">
        <v>611</v>
      </c>
    </row>
    <row r="213" spans="1:11" x14ac:dyDescent="0.25">
      <c r="A213" s="3">
        <v>46086</v>
      </c>
      <c r="B213" s="5" t="s">
        <v>612</v>
      </c>
      <c r="C213" s="5" t="s">
        <v>612</v>
      </c>
      <c r="D213" s="5" t="s">
        <v>164</v>
      </c>
      <c r="E213" s="4" t="str">
        <f>"00971555499224"</f>
        <v>00971555499224</v>
      </c>
      <c r="F213" s="2" t="s">
        <v>13</v>
      </c>
      <c r="G213" s="2" t="s">
        <v>14</v>
      </c>
      <c r="H213" t="s">
        <v>15</v>
      </c>
      <c r="I213" s="1">
        <v>46086</v>
      </c>
      <c r="J213" t="s">
        <v>613</v>
      </c>
      <c r="K213" t="s">
        <v>614</v>
      </c>
    </row>
    <row r="214" spans="1:11" x14ac:dyDescent="0.25">
      <c r="A214" s="3">
        <v>46086</v>
      </c>
      <c r="B214" s="5" t="s">
        <v>615</v>
      </c>
      <c r="C214" s="5" t="s">
        <v>615</v>
      </c>
      <c r="D214" s="5" t="s">
        <v>164</v>
      </c>
      <c r="E214" s="4" t="str">
        <f>"00971566531561"</f>
        <v>00971566531561</v>
      </c>
      <c r="F214" s="2" t="s">
        <v>13</v>
      </c>
      <c r="G214" s="2" t="s">
        <v>14</v>
      </c>
      <c r="H214" t="s">
        <v>15</v>
      </c>
      <c r="I214" s="1">
        <v>46086</v>
      </c>
      <c r="J214" t="s">
        <v>616</v>
      </c>
      <c r="K214" t="s">
        <v>617</v>
      </c>
    </row>
    <row r="215" spans="1:11" x14ac:dyDescent="0.25">
      <c r="A215" s="3">
        <v>46086</v>
      </c>
      <c r="B215" s="5" t="s">
        <v>618</v>
      </c>
      <c r="C215" s="5" t="s">
        <v>618</v>
      </c>
      <c r="D215" s="5" t="s">
        <v>164</v>
      </c>
      <c r="E215" s="4" t="str">
        <f>"00971559683004"</f>
        <v>00971559683004</v>
      </c>
      <c r="F215" s="2" t="s">
        <v>13</v>
      </c>
      <c r="G215" s="2" t="s">
        <v>14</v>
      </c>
      <c r="H215" t="s">
        <v>15</v>
      </c>
      <c r="I215" s="1">
        <v>46086</v>
      </c>
      <c r="J215" t="s">
        <v>619</v>
      </c>
      <c r="K215" t="s">
        <v>620</v>
      </c>
    </row>
    <row r="216" spans="1:11" x14ac:dyDescent="0.25">
      <c r="A216" s="3">
        <v>46086</v>
      </c>
      <c r="B216" s="5" t="s">
        <v>621</v>
      </c>
      <c r="C216" s="5" t="s">
        <v>621</v>
      </c>
      <c r="D216" s="5" t="s">
        <v>164</v>
      </c>
      <c r="E216" s="4" t="str">
        <f>"00971585923052"</f>
        <v>00971585923052</v>
      </c>
      <c r="F216" s="2" t="s">
        <v>13</v>
      </c>
      <c r="G216" s="2" t="s">
        <v>14</v>
      </c>
      <c r="H216" t="s">
        <v>15</v>
      </c>
      <c r="I216" s="1">
        <v>46086</v>
      </c>
      <c r="J216" t="s">
        <v>622</v>
      </c>
      <c r="K216" t="s">
        <v>623</v>
      </c>
    </row>
    <row r="217" spans="1:11" x14ac:dyDescent="0.25">
      <c r="A217" s="3">
        <v>46086</v>
      </c>
      <c r="B217" s="5" t="s">
        <v>624</v>
      </c>
      <c r="C217" s="5" t="s">
        <v>624</v>
      </c>
      <c r="D217" s="5" t="s">
        <v>164</v>
      </c>
      <c r="E217" s="4" t="str">
        <f>"00971585923052"</f>
        <v>00971585923052</v>
      </c>
      <c r="F217" s="2" t="s">
        <v>13</v>
      </c>
      <c r="G217" s="2" t="s">
        <v>14</v>
      </c>
      <c r="H217" t="s">
        <v>15</v>
      </c>
      <c r="I217" s="1">
        <v>46086</v>
      </c>
      <c r="J217" t="s">
        <v>625</v>
      </c>
      <c r="K217" t="s">
        <v>626</v>
      </c>
    </row>
    <row r="218" spans="1:11" x14ac:dyDescent="0.25">
      <c r="A218" s="3">
        <v>46086</v>
      </c>
      <c r="B218" s="5" t="s">
        <v>627</v>
      </c>
      <c r="C218" s="5" t="s">
        <v>627</v>
      </c>
      <c r="D218" s="5" t="s">
        <v>164</v>
      </c>
      <c r="E218" s="4" t="str">
        <f>"00971555102497"</f>
        <v>00971555102497</v>
      </c>
      <c r="F218" s="2" t="s">
        <v>13</v>
      </c>
      <c r="G218" s="2" t="s">
        <v>14</v>
      </c>
      <c r="H218" t="s">
        <v>15</v>
      </c>
      <c r="I218" s="1">
        <v>46086</v>
      </c>
      <c r="J218" t="s">
        <v>628</v>
      </c>
      <c r="K218" t="s">
        <v>629</v>
      </c>
    </row>
    <row r="219" spans="1:11" x14ac:dyDescent="0.25">
      <c r="A219" s="3">
        <v>46086</v>
      </c>
      <c r="B219" s="5" t="s">
        <v>630</v>
      </c>
      <c r="C219" s="5" t="s">
        <v>630</v>
      </c>
      <c r="D219" s="5" t="s">
        <v>164</v>
      </c>
      <c r="E219" s="4" t="str">
        <f>"00971568420071"</f>
        <v>00971568420071</v>
      </c>
      <c r="F219" s="2" t="s">
        <v>13</v>
      </c>
      <c r="G219" s="2" t="s">
        <v>14</v>
      </c>
      <c r="H219" t="s">
        <v>15</v>
      </c>
      <c r="I219" s="1">
        <v>46086</v>
      </c>
      <c r="J219" t="s">
        <v>631</v>
      </c>
      <c r="K219" t="s">
        <v>632</v>
      </c>
    </row>
    <row r="220" spans="1:11" x14ac:dyDescent="0.25">
      <c r="A220" s="3">
        <v>46086</v>
      </c>
      <c r="B220" s="5" t="s">
        <v>633</v>
      </c>
      <c r="C220" s="5" t="s">
        <v>633</v>
      </c>
      <c r="D220" s="5" t="s">
        <v>164</v>
      </c>
      <c r="E220" s="4" t="str">
        <f>"00971506457361"</f>
        <v>00971506457361</v>
      </c>
      <c r="F220" s="2" t="s">
        <v>13</v>
      </c>
      <c r="G220" s="2" t="s">
        <v>14</v>
      </c>
      <c r="H220" t="s">
        <v>15</v>
      </c>
      <c r="I220" s="1">
        <v>46086</v>
      </c>
      <c r="J220" t="s">
        <v>634</v>
      </c>
      <c r="K220" t="s">
        <v>635</v>
      </c>
    </row>
    <row r="221" spans="1:11" x14ac:dyDescent="0.25">
      <c r="A221" s="3">
        <v>46086</v>
      </c>
      <c r="B221" s="5" t="s">
        <v>636</v>
      </c>
      <c r="C221" s="5" t="s">
        <v>636</v>
      </c>
      <c r="D221" s="5" t="s">
        <v>164</v>
      </c>
      <c r="E221" s="4" t="str">
        <f>"00971507240360"</f>
        <v>00971507240360</v>
      </c>
      <c r="F221" s="2" t="s">
        <v>13</v>
      </c>
      <c r="G221" s="2" t="s">
        <v>14</v>
      </c>
      <c r="H221" t="s">
        <v>15</v>
      </c>
      <c r="I221" s="1">
        <v>46086</v>
      </c>
      <c r="J221" t="s">
        <v>637</v>
      </c>
      <c r="K221" t="s">
        <v>638</v>
      </c>
    </row>
    <row r="222" spans="1:11" x14ac:dyDescent="0.25">
      <c r="A222" s="3">
        <v>46086</v>
      </c>
      <c r="B222" s="5" t="s">
        <v>639</v>
      </c>
      <c r="C222" s="5" t="s">
        <v>639</v>
      </c>
      <c r="D222" s="5" t="s">
        <v>164</v>
      </c>
      <c r="E222" s="4" t="str">
        <f>"00971559136639"</f>
        <v>00971559136639</v>
      </c>
      <c r="F222" s="2" t="s">
        <v>13</v>
      </c>
      <c r="G222" s="2" t="s">
        <v>14</v>
      </c>
      <c r="H222" t="s">
        <v>15</v>
      </c>
      <c r="I222" s="1">
        <v>46086</v>
      </c>
      <c r="J222" t="s">
        <v>640</v>
      </c>
      <c r="K222" t="s">
        <v>641</v>
      </c>
    </row>
    <row r="223" spans="1:11" x14ac:dyDescent="0.25">
      <c r="A223" s="3">
        <v>46086</v>
      </c>
      <c r="B223" s="5" t="s">
        <v>642</v>
      </c>
      <c r="C223" s="5" t="s">
        <v>642</v>
      </c>
      <c r="D223" s="5" t="s">
        <v>164</v>
      </c>
      <c r="E223" s="4" t="str">
        <f>"00971561771010"</f>
        <v>00971561771010</v>
      </c>
      <c r="F223" s="2" t="s">
        <v>13</v>
      </c>
      <c r="G223" s="2" t="s">
        <v>14</v>
      </c>
      <c r="H223" t="s">
        <v>15</v>
      </c>
      <c r="I223" s="1">
        <v>46086</v>
      </c>
      <c r="J223" t="s">
        <v>643</v>
      </c>
      <c r="K223" t="s">
        <v>644</v>
      </c>
    </row>
    <row r="224" spans="1:11" x14ac:dyDescent="0.25">
      <c r="A224" s="3">
        <v>46086</v>
      </c>
      <c r="B224" s="5" t="s">
        <v>645</v>
      </c>
      <c r="C224" s="5" t="s">
        <v>645</v>
      </c>
      <c r="D224" s="5" t="s">
        <v>164</v>
      </c>
      <c r="E224" s="4" t="str">
        <f>"00971551457009"</f>
        <v>00971551457009</v>
      </c>
      <c r="F224" s="2" t="s">
        <v>13</v>
      </c>
      <c r="G224" s="2" t="s">
        <v>14</v>
      </c>
      <c r="H224" t="s">
        <v>15</v>
      </c>
      <c r="I224" s="1">
        <v>46086</v>
      </c>
      <c r="J224" t="s">
        <v>646</v>
      </c>
      <c r="K224" t="s">
        <v>647</v>
      </c>
    </row>
    <row r="225" spans="1:11" x14ac:dyDescent="0.25">
      <c r="A225" s="3">
        <v>46086</v>
      </c>
      <c r="B225" s="5" t="s">
        <v>648</v>
      </c>
      <c r="C225" s="5" t="s">
        <v>648</v>
      </c>
      <c r="D225" s="5" t="s">
        <v>164</v>
      </c>
      <c r="E225" s="4" t="str">
        <f>"00971506767573"</f>
        <v>00971506767573</v>
      </c>
      <c r="F225" s="2" t="s">
        <v>13</v>
      </c>
      <c r="G225" s="2" t="s">
        <v>14</v>
      </c>
      <c r="H225" t="s">
        <v>15</v>
      </c>
      <c r="I225" s="1">
        <v>46086</v>
      </c>
      <c r="J225" t="s">
        <v>649</v>
      </c>
      <c r="K225" t="s">
        <v>650</v>
      </c>
    </row>
    <row r="226" spans="1:11" x14ac:dyDescent="0.25">
      <c r="A226" s="3">
        <v>46086</v>
      </c>
      <c r="B226" s="5" t="s">
        <v>651</v>
      </c>
      <c r="C226" s="5" t="s">
        <v>651</v>
      </c>
      <c r="D226" s="5" t="s">
        <v>164</v>
      </c>
      <c r="E226" s="4" t="str">
        <f>"00971527666727"</f>
        <v>00971527666727</v>
      </c>
      <c r="F226" s="2" t="s">
        <v>13</v>
      </c>
      <c r="G226" s="2" t="s">
        <v>14</v>
      </c>
      <c r="H226" t="s">
        <v>15</v>
      </c>
      <c r="I226" s="1">
        <v>46086</v>
      </c>
      <c r="J226" t="s">
        <v>652</v>
      </c>
      <c r="K226" t="s">
        <v>653</v>
      </c>
    </row>
    <row r="227" spans="1:11" x14ac:dyDescent="0.25">
      <c r="A227" s="3">
        <v>46086</v>
      </c>
      <c r="B227" s="5" t="s">
        <v>651</v>
      </c>
      <c r="C227" s="5" t="s">
        <v>651</v>
      </c>
      <c r="D227" s="5" t="s">
        <v>164</v>
      </c>
      <c r="E227" s="4" t="str">
        <f>"00971582262302"</f>
        <v>00971582262302</v>
      </c>
      <c r="F227" s="2" t="s">
        <v>13</v>
      </c>
      <c r="G227" s="2" t="s">
        <v>14</v>
      </c>
      <c r="H227" t="s">
        <v>15</v>
      </c>
      <c r="I227" s="1">
        <v>46086</v>
      </c>
      <c r="J227" t="s">
        <v>652</v>
      </c>
      <c r="K227" t="s">
        <v>654</v>
      </c>
    </row>
    <row r="228" spans="1:11" x14ac:dyDescent="0.25">
      <c r="A228" s="3">
        <v>46086</v>
      </c>
      <c r="B228" s="5" t="s">
        <v>655</v>
      </c>
      <c r="C228" s="5" t="s">
        <v>655</v>
      </c>
      <c r="D228" s="5" t="s">
        <v>164</v>
      </c>
      <c r="E228" s="4" t="str">
        <f>"00971566679981"</f>
        <v>00971566679981</v>
      </c>
      <c r="F228" s="2" t="s">
        <v>13</v>
      </c>
      <c r="G228" s="2" t="s">
        <v>14</v>
      </c>
      <c r="H228" t="s">
        <v>15</v>
      </c>
      <c r="I228" s="1">
        <v>46086</v>
      </c>
      <c r="J228" t="s">
        <v>656</v>
      </c>
      <c r="K228" t="s">
        <v>657</v>
      </c>
    </row>
    <row r="229" spans="1:11" x14ac:dyDescent="0.25">
      <c r="A229" s="3">
        <v>46086</v>
      </c>
      <c r="B229" s="5" t="s">
        <v>658</v>
      </c>
      <c r="C229" s="5" t="s">
        <v>658</v>
      </c>
      <c r="D229" s="5" t="s">
        <v>659</v>
      </c>
      <c r="E229" s="4" t="str">
        <f>"00971565646507"</f>
        <v>00971565646507</v>
      </c>
      <c r="F229" s="2" t="s">
        <v>13</v>
      </c>
      <c r="G229" s="2" t="s">
        <v>14</v>
      </c>
      <c r="H229" t="s">
        <v>15</v>
      </c>
      <c r="I229" s="1">
        <v>46086</v>
      </c>
      <c r="J229" t="s">
        <v>660</v>
      </c>
      <c r="K229" t="s">
        <v>661</v>
      </c>
    </row>
    <row r="230" spans="1:11" x14ac:dyDescent="0.25">
      <c r="A230" s="3">
        <v>46086</v>
      </c>
      <c r="B230" s="5" t="s">
        <v>662</v>
      </c>
      <c r="C230" s="5" t="s">
        <v>662</v>
      </c>
      <c r="D230" s="5" t="s">
        <v>663</v>
      </c>
      <c r="E230" s="4" t="str">
        <f>"00971506448420"</f>
        <v>00971506448420</v>
      </c>
      <c r="F230" s="2" t="s">
        <v>13</v>
      </c>
      <c r="G230" s="2" t="s">
        <v>14</v>
      </c>
      <c r="H230" t="s">
        <v>15</v>
      </c>
      <c r="I230" s="1">
        <v>46086</v>
      </c>
      <c r="J230" t="s">
        <v>664</v>
      </c>
      <c r="K230" t="s">
        <v>665</v>
      </c>
    </row>
    <row r="231" spans="1:11" x14ac:dyDescent="0.25">
      <c r="A231" s="3">
        <v>46086</v>
      </c>
      <c r="B231" s="5" t="s">
        <v>666</v>
      </c>
      <c r="C231" s="5" t="s">
        <v>666</v>
      </c>
      <c r="D231" s="5" t="s">
        <v>663</v>
      </c>
      <c r="E231" s="4" t="str">
        <f>"00971507725669"</f>
        <v>00971507725669</v>
      </c>
      <c r="F231" s="2" t="s">
        <v>13</v>
      </c>
      <c r="G231" s="2" t="s">
        <v>14</v>
      </c>
      <c r="H231" t="s">
        <v>15</v>
      </c>
      <c r="I231" s="1">
        <v>46086</v>
      </c>
      <c r="J231" t="s">
        <v>667</v>
      </c>
      <c r="K231" t="s">
        <v>668</v>
      </c>
    </row>
    <row r="232" spans="1:11" x14ac:dyDescent="0.25">
      <c r="A232" s="3">
        <v>46086</v>
      </c>
      <c r="B232" s="5" t="s">
        <v>669</v>
      </c>
      <c r="C232" s="5" t="s">
        <v>669</v>
      </c>
      <c r="D232" s="5" t="s">
        <v>663</v>
      </c>
      <c r="E232" s="4" t="str">
        <f>"00971501332186"</f>
        <v>00971501332186</v>
      </c>
      <c r="F232" s="2" t="s">
        <v>13</v>
      </c>
      <c r="G232" s="2" t="s">
        <v>14</v>
      </c>
      <c r="H232" t="s">
        <v>15</v>
      </c>
      <c r="I232" s="1">
        <v>46086</v>
      </c>
      <c r="J232" t="s">
        <v>670</v>
      </c>
      <c r="K232" t="s">
        <v>671</v>
      </c>
    </row>
    <row r="233" spans="1:11" x14ac:dyDescent="0.25">
      <c r="A233" s="3">
        <v>46086</v>
      </c>
      <c r="B233" s="5" t="s">
        <v>672</v>
      </c>
      <c r="C233" s="5" t="s">
        <v>672</v>
      </c>
      <c r="D233" s="5" t="s">
        <v>673</v>
      </c>
      <c r="E233" s="4" t="str">
        <f>"00971562108123"</f>
        <v>00971562108123</v>
      </c>
      <c r="F233" s="2" t="s">
        <v>13</v>
      </c>
      <c r="G233" s="2" t="s">
        <v>14</v>
      </c>
      <c r="H233" t="s">
        <v>15</v>
      </c>
      <c r="I233" s="1">
        <v>46086</v>
      </c>
      <c r="J233" t="s">
        <v>674</v>
      </c>
      <c r="K233" t="s">
        <v>675</v>
      </c>
    </row>
    <row r="234" spans="1:11" x14ac:dyDescent="0.25">
      <c r="A234" s="3">
        <v>46086</v>
      </c>
      <c r="B234" s="5" t="s">
        <v>676</v>
      </c>
      <c r="C234" s="5" t="s">
        <v>676</v>
      </c>
      <c r="D234" s="5" t="s">
        <v>673</v>
      </c>
      <c r="E234" s="4" t="str">
        <f>"00971529878762"</f>
        <v>00971529878762</v>
      </c>
      <c r="F234" s="2" t="s">
        <v>13</v>
      </c>
      <c r="G234" s="2" t="s">
        <v>14</v>
      </c>
      <c r="H234" t="s">
        <v>15</v>
      </c>
      <c r="I234" s="1">
        <v>46086</v>
      </c>
      <c r="J234" t="s">
        <v>677</v>
      </c>
      <c r="K234" t="s">
        <v>678</v>
      </c>
    </row>
    <row r="235" spans="1:11" x14ac:dyDescent="0.25">
      <c r="A235" s="3">
        <v>46086</v>
      </c>
      <c r="B235" s="5" t="s">
        <v>679</v>
      </c>
      <c r="C235" s="5" t="s">
        <v>679</v>
      </c>
      <c r="D235" s="5" t="s">
        <v>673</v>
      </c>
      <c r="E235" s="4" t="str">
        <f>"00971556816835"</f>
        <v>00971556816835</v>
      </c>
      <c r="F235" s="2" t="s">
        <v>13</v>
      </c>
      <c r="G235" s="2" t="s">
        <v>14</v>
      </c>
      <c r="H235" t="s">
        <v>15</v>
      </c>
      <c r="I235" s="1">
        <v>46086</v>
      </c>
      <c r="J235" t="s">
        <v>680</v>
      </c>
      <c r="K235" t="s">
        <v>681</v>
      </c>
    </row>
    <row r="236" spans="1:11" x14ac:dyDescent="0.25">
      <c r="A236" s="3">
        <v>46086</v>
      </c>
      <c r="B236" s="5" t="s">
        <v>682</v>
      </c>
      <c r="C236" s="5" t="s">
        <v>682</v>
      </c>
      <c r="D236" s="5" t="s">
        <v>673</v>
      </c>
      <c r="E236" s="4" t="str">
        <f>"00971502296962"</f>
        <v>00971502296962</v>
      </c>
      <c r="F236" s="2" t="s">
        <v>13</v>
      </c>
      <c r="G236" s="2" t="s">
        <v>14</v>
      </c>
      <c r="H236" t="s">
        <v>15</v>
      </c>
      <c r="I236" s="1">
        <v>46086</v>
      </c>
      <c r="J236" t="s">
        <v>683</v>
      </c>
      <c r="K236" t="s">
        <v>684</v>
      </c>
    </row>
    <row r="237" spans="1:11" x14ac:dyDescent="0.25">
      <c r="A237" s="3">
        <v>46086</v>
      </c>
      <c r="B237" s="5" t="s">
        <v>685</v>
      </c>
      <c r="C237" s="5" t="s">
        <v>685</v>
      </c>
      <c r="D237" s="5" t="s">
        <v>673</v>
      </c>
      <c r="E237" s="4" t="str">
        <f>"00971565997738"</f>
        <v>00971565997738</v>
      </c>
      <c r="F237" s="2" t="s">
        <v>13</v>
      </c>
      <c r="G237" s="2" t="s">
        <v>14</v>
      </c>
      <c r="H237" t="s">
        <v>15</v>
      </c>
      <c r="I237" s="1">
        <v>46086</v>
      </c>
      <c r="J237" t="s">
        <v>686</v>
      </c>
      <c r="K237" t="s">
        <v>687</v>
      </c>
    </row>
    <row r="238" spans="1:11" x14ac:dyDescent="0.25">
      <c r="A238" s="3">
        <v>46086</v>
      </c>
      <c r="B238" s="5" t="s">
        <v>688</v>
      </c>
      <c r="C238" s="5" t="s">
        <v>688</v>
      </c>
      <c r="D238" s="5" t="s">
        <v>673</v>
      </c>
      <c r="E238" s="4" t="str">
        <f>"00971502877001"</f>
        <v>00971502877001</v>
      </c>
      <c r="F238" s="2" t="s">
        <v>13</v>
      </c>
      <c r="G238" s="2" t="s">
        <v>14</v>
      </c>
      <c r="H238" t="s">
        <v>15</v>
      </c>
      <c r="I238" s="1">
        <v>46086</v>
      </c>
      <c r="J238" t="s">
        <v>689</v>
      </c>
      <c r="K238" t="s">
        <v>690</v>
      </c>
    </row>
    <row r="239" spans="1:11" x14ac:dyDescent="0.25">
      <c r="A239" s="3">
        <v>46086</v>
      </c>
      <c r="B239" s="5" t="s">
        <v>691</v>
      </c>
      <c r="C239" s="5" t="s">
        <v>691</v>
      </c>
      <c r="D239" s="5" t="s">
        <v>673</v>
      </c>
      <c r="E239" s="4" t="str">
        <f>"00971503025706"</f>
        <v>00971503025706</v>
      </c>
      <c r="F239" s="2" t="s">
        <v>13</v>
      </c>
      <c r="G239" s="2" t="s">
        <v>14</v>
      </c>
      <c r="H239" t="s">
        <v>15</v>
      </c>
      <c r="I239" s="1">
        <v>46086</v>
      </c>
      <c r="J239" t="s">
        <v>692</v>
      </c>
      <c r="K239" t="s">
        <v>693</v>
      </c>
    </row>
    <row r="240" spans="1:11" x14ac:dyDescent="0.25">
      <c r="A240" s="3">
        <v>46086</v>
      </c>
      <c r="B240" s="5" t="s">
        <v>694</v>
      </c>
      <c r="C240" s="5" t="s">
        <v>694</v>
      </c>
      <c r="D240" s="5" t="s">
        <v>673</v>
      </c>
      <c r="E240" s="4" t="str">
        <f>"00971569165750"</f>
        <v>00971569165750</v>
      </c>
      <c r="F240" s="2" t="s">
        <v>13</v>
      </c>
      <c r="G240" s="2" t="s">
        <v>14</v>
      </c>
      <c r="H240" t="s">
        <v>15</v>
      </c>
      <c r="I240" s="1">
        <v>46086</v>
      </c>
      <c r="J240" t="s">
        <v>695</v>
      </c>
      <c r="K240" t="s">
        <v>696</v>
      </c>
    </row>
    <row r="241" spans="1:11" x14ac:dyDescent="0.25">
      <c r="A241" s="3">
        <v>46086</v>
      </c>
      <c r="B241" s="5" t="s">
        <v>697</v>
      </c>
      <c r="C241" s="5" t="s">
        <v>697</v>
      </c>
      <c r="D241" s="5" t="s">
        <v>673</v>
      </c>
      <c r="E241" s="4" t="str">
        <f>"00971502152960"</f>
        <v>00971502152960</v>
      </c>
      <c r="F241" s="2" t="s">
        <v>13</v>
      </c>
      <c r="G241" s="2" t="s">
        <v>14</v>
      </c>
      <c r="H241" t="s">
        <v>15</v>
      </c>
      <c r="I241" s="1">
        <v>46086</v>
      </c>
      <c r="J241" t="s">
        <v>698</v>
      </c>
      <c r="K241" t="s">
        <v>699</v>
      </c>
    </row>
    <row r="242" spans="1:11" x14ac:dyDescent="0.25">
      <c r="A242" s="3">
        <v>46086</v>
      </c>
      <c r="B242" s="5" t="s">
        <v>700</v>
      </c>
      <c r="C242" s="5" t="s">
        <v>700</v>
      </c>
      <c r="D242" s="5" t="s">
        <v>673</v>
      </c>
      <c r="E242" s="4" t="str">
        <f>"00971509888650"</f>
        <v>00971509888650</v>
      </c>
      <c r="F242" s="2" t="s">
        <v>13</v>
      </c>
      <c r="G242" s="2" t="s">
        <v>14</v>
      </c>
      <c r="H242" t="s">
        <v>15</v>
      </c>
      <c r="I242" s="1">
        <v>46086</v>
      </c>
      <c r="J242" t="s">
        <v>701</v>
      </c>
      <c r="K242" t="s">
        <v>702</v>
      </c>
    </row>
    <row r="243" spans="1:11" x14ac:dyDescent="0.25">
      <c r="A243" s="3">
        <v>46086</v>
      </c>
      <c r="B243" s="5" t="s">
        <v>703</v>
      </c>
      <c r="C243" s="5" t="s">
        <v>703</v>
      </c>
      <c r="D243" s="5" t="s">
        <v>673</v>
      </c>
      <c r="E243" s="4" t="str">
        <f>"00971589267740"</f>
        <v>00971589267740</v>
      </c>
      <c r="F243" s="2" t="s">
        <v>13</v>
      </c>
      <c r="G243" s="2" t="s">
        <v>14</v>
      </c>
      <c r="H243" t="s">
        <v>15</v>
      </c>
      <c r="I243" s="1">
        <v>46086</v>
      </c>
      <c r="J243" t="s">
        <v>704</v>
      </c>
      <c r="K243" t="s">
        <v>705</v>
      </c>
    </row>
    <row r="244" spans="1:11" x14ac:dyDescent="0.25">
      <c r="A244" s="3">
        <v>46086</v>
      </c>
      <c r="B244" s="5" t="s">
        <v>706</v>
      </c>
      <c r="C244" s="5" t="s">
        <v>706</v>
      </c>
      <c r="D244" s="5" t="s">
        <v>673</v>
      </c>
      <c r="E244" s="4" t="str">
        <f>"00971508577954"</f>
        <v>00971508577954</v>
      </c>
      <c r="F244" s="2" t="s">
        <v>13</v>
      </c>
      <c r="G244" s="2" t="s">
        <v>14</v>
      </c>
      <c r="H244" t="s">
        <v>15</v>
      </c>
      <c r="I244" s="1">
        <v>46086</v>
      </c>
      <c r="J244" t="s">
        <v>707</v>
      </c>
      <c r="K244" t="s">
        <v>708</v>
      </c>
    </row>
    <row r="245" spans="1:11" x14ac:dyDescent="0.25">
      <c r="A245" s="3">
        <v>46086</v>
      </c>
      <c r="B245" s="5" t="s">
        <v>709</v>
      </c>
      <c r="C245" s="5" t="s">
        <v>709</v>
      </c>
      <c r="D245" s="5" t="s">
        <v>673</v>
      </c>
      <c r="E245" s="4" t="str">
        <f>"00971506710872"</f>
        <v>00971506710872</v>
      </c>
      <c r="F245" s="2" t="s">
        <v>13</v>
      </c>
      <c r="G245" s="2" t="s">
        <v>14</v>
      </c>
      <c r="H245" t="s">
        <v>15</v>
      </c>
      <c r="I245" s="1">
        <v>46086</v>
      </c>
      <c r="J245" t="s">
        <v>710</v>
      </c>
      <c r="K245" t="s">
        <v>711</v>
      </c>
    </row>
    <row r="246" spans="1:11" x14ac:dyDescent="0.25">
      <c r="A246" s="3">
        <v>46086</v>
      </c>
      <c r="B246" s="5" t="s">
        <v>712</v>
      </c>
      <c r="C246" s="5" t="s">
        <v>712</v>
      </c>
      <c r="D246" s="5" t="s">
        <v>673</v>
      </c>
      <c r="E246" s="4" t="str">
        <f>"00971522856364"</f>
        <v>00971522856364</v>
      </c>
      <c r="F246" s="2" t="s">
        <v>13</v>
      </c>
      <c r="G246" s="2" t="s">
        <v>14</v>
      </c>
      <c r="H246" t="s">
        <v>15</v>
      </c>
      <c r="I246" s="1">
        <v>46086</v>
      </c>
      <c r="J246" t="s">
        <v>713</v>
      </c>
      <c r="K246" t="s">
        <v>714</v>
      </c>
    </row>
    <row r="247" spans="1:11" x14ac:dyDescent="0.25">
      <c r="A247" s="3">
        <v>46086</v>
      </c>
      <c r="B247" s="5" t="s">
        <v>712</v>
      </c>
      <c r="C247" s="5" t="s">
        <v>712</v>
      </c>
      <c r="D247" s="5" t="s">
        <v>673</v>
      </c>
      <c r="E247" s="4" t="str">
        <f>"00971544110353"</f>
        <v>00971544110353</v>
      </c>
      <c r="F247" s="2" t="s">
        <v>13</v>
      </c>
      <c r="G247" s="2" t="s">
        <v>14</v>
      </c>
      <c r="H247" t="s">
        <v>15</v>
      </c>
      <c r="I247" s="1">
        <v>46086</v>
      </c>
      <c r="J247" t="s">
        <v>713</v>
      </c>
      <c r="K247" t="s">
        <v>715</v>
      </c>
    </row>
    <row r="248" spans="1:11" x14ac:dyDescent="0.25">
      <c r="A248" s="3">
        <v>46086</v>
      </c>
      <c r="B248" s="5" t="s">
        <v>716</v>
      </c>
      <c r="C248" s="5" t="s">
        <v>716</v>
      </c>
      <c r="D248" s="5" t="s">
        <v>673</v>
      </c>
      <c r="E248" s="4" t="str">
        <f>"00971561217085"</f>
        <v>00971561217085</v>
      </c>
      <c r="F248" s="2" t="s">
        <v>13</v>
      </c>
      <c r="G248" s="2" t="s">
        <v>14</v>
      </c>
      <c r="H248" t="s">
        <v>15</v>
      </c>
      <c r="I248" s="1">
        <v>46086</v>
      </c>
      <c r="J248" t="s">
        <v>717</v>
      </c>
      <c r="K248" t="s">
        <v>718</v>
      </c>
    </row>
    <row r="249" spans="1:11" x14ac:dyDescent="0.25">
      <c r="A249" s="3">
        <v>46086</v>
      </c>
      <c r="B249" s="5" t="s">
        <v>719</v>
      </c>
      <c r="C249" s="5" t="s">
        <v>719</v>
      </c>
      <c r="D249" s="5" t="s">
        <v>673</v>
      </c>
      <c r="E249" s="4" t="str">
        <f>"00971556542629"</f>
        <v>00971556542629</v>
      </c>
      <c r="F249" s="2" t="s">
        <v>13</v>
      </c>
      <c r="G249" s="2" t="s">
        <v>14</v>
      </c>
      <c r="H249" t="s">
        <v>15</v>
      </c>
      <c r="I249" s="1">
        <v>46086</v>
      </c>
      <c r="J249" t="s">
        <v>720</v>
      </c>
      <c r="K249" t="s">
        <v>721</v>
      </c>
    </row>
    <row r="250" spans="1:11" x14ac:dyDescent="0.25">
      <c r="A250" s="3">
        <v>46086</v>
      </c>
      <c r="B250" s="5" t="s">
        <v>719</v>
      </c>
      <c r="C250" s="5" t="s">
        <v>719</v>
      </c>
      <c r="D250" s="5" t="s">
        <v>673</v>
      </c>
      <c r="E250" s="4" t="str">
        <f>"00971556807313"</f>
        <v>00971556807313</v>
      </c>
      <c r="F250" s="2" t="s">
        <v>13</v>
      </c>
      <c r="G250" s="2" t="s">
        <v>14</v>
      </c>
      <c r="H250" t="s">
        <v>15</v>
      </c>
      <c r="I250" s="1">
        <v>46086</v>
      </c>
      <c r="J250" t="s">
        <v>720</v>
      </c>
      <c r="K250" t="s">
        <v>722</v>
      </c>
    </row>
    <row r="251" spans="1:11" x14ac:dyDescent="0.25">
      <c r="A251" s="3">
        <v>46086</v>
      </c>
      <c r="B251" s="5" t="s">
        <v>723</v>
      </c>
      <c r="C251" s="5" t="s">
        <v>723</v>
      </c>
      <c r="D251" s="5" t="s">
        <v>673</v>
      </c>
      <c r="E251" s="4" t="str">
        <f>"00971528154590"</f>
        <v>00971528154590</v>
      </c>
      <c r="F251" s="2" t="s">
        <v>13</v>
      </c>
      <c r="G251" s="2" t="s">
        <v>14</v>
      </c>
      <c r="H251" t="s">
        <v>15</v>
      </c>
      <c r="I251" s="1">
        <v>46086</v>
      </c>
      <c r="J251" t="s">
        <v>724</v>
      </c>
      <c r="K251" t="s">
        <v>725</v>
      </c>
    </row>
    <row r="252" spans="1:11" x14ac:dyDescent="0.25">
      <c r="A252" s="3">
        <v>46086</v>
      </c>
      <c r="B252" s="5" t="s">
        <v>726</v>
      </c>
      <c r="C252" s="5" t="s">
        <v>726</v>
      </c>
      <c r="D252" s="5" t="s">
        <v>673</v>
      </c>
      <c r="E252" s="4" t="str">
        <f>"00971555175987"</f>
        <v>00971555175987</v>
      </c>
      <c r="F252" s="2" t="s">
        <v>13</v>
      </c>
      <c r="G252" s="2" t="s">
        <v>14</v>
      </c>
      <c r="H252" t="s">
        <v>15</v>
      </c>
      <c r="I252" s="1">
        <v>46086</v>
      </c>
      <c r="J252" t="s">
        <v>727</v>
      </c>
      <c r="K252" t="s">
        <v>728</v>
      </c>
    </row>
    <row r="253" spans="1:11" x14ac:dyDescent="0.25">
      <c r="A253" s="3">
        <v>46086</v>
      </c>
      <c r="B253" s="5" t="s">
        <v>729</v>
      </c>
      <c r="C253" s="5" t="s">
        <v>729</v>
      </c>
      <c r="D253" s="5" t="s">
        <v>673</v>
      </c>
      <c r="E253" s="4" t="str">
        <f>"00971545849773"</f>
        <v>00971545849773</v>
      </c>
      <c r="F253" s="2" t="s">
        <v>13</v>
      </c>
      <c r="G253" s="2" t="s">
        <v>14</v>
      </c>
      <c r="H253" t="s">
        <v>15</v>
      </c>
      <c r="I253" s="1">
        <v>46086</v>
      </c>
      <c r="J253" t="s">
        <v>730</v>
      </c>
      <c r="K253" t="s">
        <v>731</v>
      </c>
    </row>
    <row r="254" spans="1:11" x14ac:dyDescent="0.25">
      <c r="A254" s="3">
        <v>46086</v>
      </c>
      <c r="B254" s="5" t="s">
        <v>729</v>
      </c>
      <c r="C254" s="5" t="s">
        <v>729</v>
      </c>
      <c r="D254" s="5" t="s">
        <v>673</v>
      </c>
      <c r="E254" s="4" t="str">
        <f>"00971556323112"</f>
        <v>00971556323112</v>
      </c>
      <c r="F254" s="2" t="s">
        <v>13</v>
      </c>
      <c r="G254" s="2" t="s">
        <v>14</v>
      </c>
      <c r="H254" t="s">
        <v>15</v>
      </c>
      <c r="I254" s="1">
        <v>46086</v>
      </c>
      <c r="J254" t="s">
        <v>730</v>
      </c>
      <c r="K254" t="s">
        <v>732</v>
      </c>
    </row>
    <row r="255" spans="1:11" x14ac:dyDescent="0.25">
      <c r="A255" s="3">
        <v>46086</v>
      </c>
      <c r="B255" s="5" t="s">
        <v>733</v>
      </c>
      <c r="C255" s="5" t="s">
        <v>733</v>
      </c>
      <c r="D255" s="5" t="s">
        <v>673</v>
      </c>
      <c r="E255" s="4" t="str">
        <f>"00971508087746"</f>
        <v>00971508087746</v>
      </c>
      <c r="F255" s="2" t="s">
        <v>13</v>
      </c>
      <c r="G255" s="2" t="s">
        <v>14</v>
      </c>
      <c r="H255" t="s">
        <v>15</v>
      </c>
      <c r="I255" s="1">
        <v>46086</v>
      </c>
      <c r="J255" t="s">
        <v>734</v>
      </c>
      <c r="K255" t="s">
        <v>735</v>
      </c>
    </row>
    <row r="256" spans="1:11" x14ac:dyDescent="0.25">
      <c r="A256" s="3">
        <v>46086</v>
      </c>
      <c r="B256" s="5" t="s">
        <v>733</v>
      </c>
      <c r="C256" s="5" t="s">
        <v>733</v>
      </c>
      <c r="D256" s="5" t="s">
        <v>673</v>
      </c>
      <c r="E256" s="4" t="str">
        <f>"00971508099662"</f>
        <v>00971508099662</v>
      </c>
      <c r="F256" s="2" t="s">
        <v>13</v>
      </c>
      <c r="G256" s="2" t="s">
        <v>14</v>
      </c>
      <c r="H256" t="s">
        <v>15</v>
      </c>
      <c r="I256" s="1">
        <v>46086</v>
      </c>
      <c r="J256" t="s">
        <v>734</v>
      </c>
      <c r="K256" t="s">
        <v>736</v>
      </c>
    </row>
    <row r="257" spans="1:11" x14ac:dyDescent="0.25">
      <c r="A257" s="3">
        <v>46086</v>
      </c>
      <c r="B257" s="5" t="s">
        <v>737</v>
      </c>
      <c r="C257" s="5" t="s">
        <v>737</v>
      </c>
      <c r="D257" s="5" t="s">
        <v>673</v>
      </c>
      <c r="E257" s="4" t="str">
        <f>"00971504552808"</f>
        <v>00971504552808</v>
      </c>
      <c r="F257" s="2" t="s">
        <v>13</v>
      </c>
      <c r="G257" s="2" t="s">
        <v>14</v>
      </c>
      <c r="H257" t="s">
        <v>15</v>
      </c>
      <c r="I257" s="1">
        <v>46086</v>
      </c>
      <c r="J257" t="s">
        <v>738</v>
      </c>
      <c r="K257" t="s">
        <v>739</v>
      </c>
    </row>
    <row r="258" spans="1:11" x14ac:dyDescent="0.25">
      <c r="A258" s="3">
        <v>46086</v>
      </c>
      <c r="B258" s="5" t="s">
        <v>740</v>
      </c>
      <c r="C258" s="5" t="s">
        <v>740</v>
      </c>
      <c r="D258" s="5" t="s">
        <v>673</v>
      </c>
      <c r="E258" s="4" t="str">
        <f>"00971502311874"</f>
        <v>00971502311874</v>
      </c>
      <c r="F258" s="2" t="s">
        <v>13</v>
      </c>
      <c r="G258" s="2" t="s">
        <v>14</v>
      </c>
      <c r="H258" t="s">
        <v>15</v>
      </c>
      <c r="I258" s="1">
        <v>46086</v>
      </c>
      <c r="J258" t="s">
        <v>741</v>
      </c>
      <c r="K258" t="s">
        <v>742</v>
      </c>
    </row>
    <row r="259" spans="1:11" x14ac:dyDescent="0.25">
      <c r="A259" s="3">
        <v>46086</v>
      </c>
      <c r="B259" s="5" t="s">
        <v>740</v>
      </c>
      <c r="C259" s="5" t="s">
        <v>740</v>
      </c>
      <c r="D259" s="5" t="s">
        <v>673</v>
      </c>
      <c r="E259" s="4" t="str">
        <f>"00971553425628"</f>
        <v>00971553425628</v>
      </c>
      <c r="F259" s="2" t="s">
        <v>13</v>
      </c>
      <c r="G259" s="2" t="s">
        <v>14</v>
      </c>
      <c r="H259" t="s">
        <v>15</v>
      </c>
      <c r="I259" s="1">
        <v>46086</v>
      </c>
      <c r="J259" t="s">
        <v>741</v>
      </c>
      <c r="K259" t="s">
        <v>743</v>
      </c>
    </row>
    <row r="260" spans="1:11" x14ac:dyDescent="0.25">
      <c r="A260" s="3">
        <v>46086</v>
      </c>
      <c r="B260" s="5" t="s">
        <v>744</v>
      </c>
      <c r="C260" s="5" t="s">
        <v>744</v>
      </c>
      <c r="D260" s="5" t="s">
        <v>673</v>
      </c>
      <c r="E260" s="4" t="str">
        <f>"00971504240262"</f>
        <v>00971504240262</v>
      </c>
      <c r="F260" s="2" t="s">
        <v>13</v>
      </c>
      <c r="G260" s="2" t="s">
        <v>14</v>
      </c>
      <c r="H260" t="s">
        <v>15</v>
      </c>
      <c r="I260" s="1">
        <v>46086</v>
      </c>
      <c r="J260" t="s">
        <v>745</v>
      </c>
      <c r="K260" t="s">
        <v>746</v>
      </c>
    </row>
    <row r="261" spans="1:11" x14ac:dyDescent="0.25">
      <c r="A261" s="3">
        <v>46086</v>
      </c>
      <c r="B261" s="5" t="s">
        <v>747</v>
      </c>
      <c r="C261" s="5" t="s">
        <v>747</v>
      </c>
      <c r="D261" s="5" t="s">
        <v>673</v>
      </c>
      <c r="E261" s="4" t="str">
        <f>"00971505198462"</f>
        <v>00971505198462</v>
      </c>
      <c r="F261" s="2" t="s">
        <v>13</v>
      </c>
      <c r="G261" s="2" t="s">
        <v>14</v>
      </c>
      <c r="H261" t="s">
        <v>15</v>
      </c>
      <c r="I261" s="1">
        <v>46086</v>
      </c>
      <c r="J261" t="s">
        <v>748</v>
      </c>
      <c r="K261" t="s">
        <v>749</v>
      </c>
    </row>
    <row r="262" spans="1:11" x14ac:dyDescent="0.25">
      <c r="A262" s="3">
        <v>46086</v>
      </c>
      <c r="B262" s="5" t="s">
        <v>750</v>
      </c>
      <c r="C262" s="5" t="s">
        <v>750</v>
      </c>
      <c r="D262" s="5" t="s">
        <v>673</v>
      </c>
      <c r="E262" s="4" t="str">
        <f>"00971507948028"</f>
        <v>00971507948028</v>
      </c>
      <c r="F262" s="2" t="s">
        <v>13</v>
      </c>
      <c r="G262" s="2" t="s">
        <v>14</v>
      </c>
      <c r="H262" t="s">
        <v>15</v>
      </c>
      <c r="I262" s="1">
        <v>46086</v>
      </c>
      <c r="J262" t="s">
        <v>751</v>
      </c>
      <c r="K262" t="s">
        <v>752</v>
      </c>
    </row>
    <row r="263" spans="1:11" x14ac:dyDescent="0.25">
      <c r="A263" s="3">
        <v>46086</v>
      </c>
      <c r="B263" s="5" t="s">
        <v>753</v>
      </c>
      <c r="C263" s="5" t="s">
        <v>753</v>
      </c>
      <c r="D263" s="5" t="s">
        <v>673</v>
      </c>
      <c r="E263" s="4" t="str">
        <f>"00971508073844"</f>
        <v>00971508073844</v>
      </c>
      <c r="F263" s="2" t="s">
        <v>13</v>
      </c>
      <c r="G263" s="2" t="s">
        <v>14</v>
      </c>
      <c r="H263" t="s">
        <v>15</v>
      </c>
      <c r="I263" s="1">
        <v>46086</v>
      </c>
      <c r="J263" t="s">
        <v>754</v>
      </c>
      <c r="K263" t="s">
        <v>755</v>
      </c>
    </row>
    <row r="264" spans="1:11" x14ac:dyDescent="0.25">
      <c r="A264" s="3">
        <v>46086</v>
      </c>
      <c r="B264" s="5" t="s">
        <v>756</v>
      </c>
      <c r="C264" s="5" t="s">
        <v>756</v>
      </c>
      <c r="D264" s="5" t="s">
        <v>673</v>
      </c>
      <c r="E264" s="4" t="str">
        <f>"00971525273202"</f>
        <v>00971525273202</v>
      </c>
      <c r="F264" s="2" t="s">
        <v>13</v>
      </c>
      <c r="G264" s="2" t="s">
        <v>14</v>
      </c>
      <c r="H264" t="s">
        <v>15</v>
      </c>
      <c r="I264" s="1">
        <v>46086</v>
      </c>
      <c r="J264" t="s">
        <v>757</v>
      </c>
      <c r="K264" t="s">
        <v>758</v>
      </c>
    </row>
    <row r="265" spans="1:11" x14ac:dyDescent="0.25">
      <c r="A265" s="3">
        <v>46086</v>
      </c>
      <c r="B265" s="5" t="s">
        <v>759</v>
      </c>
      <c r="C265" s="5" t="s">
        <v>759</v>
      </c>
      <c r="D265" s="5" t="s">
        <v>673</v>
      </c>
      <c r="E265" s="4" t="str">
        <f>"00971555535094"</f>
        <v>00971555535094</v>
      </c>
      <c r="F265" s="2" t="s">
        <v>13</v>
      </c>
      <c r="G265" s="2" t="s">
        <v>14</v>
      </c>
      <c r="H265" t="s">
        <v>15</v>
      </c>
      <c r="I265" s="1">
        <v>46086</v>
      </c>
      <c r="J265" t="s">
        <v>760</v>
      </c>
      <c r="K265" t="s">
        <v>761</v>
      </c>
    </row>
    <row r="266" spans="1:11" x14ac:dyDescent="0.25">
      <c r="A266" s="3">
        <v>46086</v>
      </c>
      <c r="B266" s="5" t="s">
        <v>759</v>
      </c>
      <c r="C266" s="5" t="s">
        <v>759</v>
      </c>
      <c r="D266" s="5" t="s">
        <v>673</v>
      </c>
      <c r="E266" s="4" t="str">
        <f>"00971558286248"</f>
        <v>00971558286248</v>
      </c>
      <c r="F266" s="2" t="s">
        <v>13</v>
      </c>
      <c r="G266" s="2" t="s">
        <v>14</v>
      </c>
      <c r="H266" t="s">
        <v>15</v>
      </c>
      <c r="I266" s="1">
        <v>46086</v>
      </c>
      <c r="J266" t="s">
        <v>760</v>
      </c>
      <c r="K266" t="s">
        <v>762</v>
      </c>
    </row>
    <row r="267" spans="1:11" x14ac:dyDescent="0.25">
      <c r="A267" s="3">
        <v>46086</v>
      </c>
      <c r="B267" s="5" t="s">
        <v>763</v>
      </c>
      <c r="C267" s="5" t="s">
        <v>763</v>
      </c>
      <c r="D267" s="5" t="s">
        <v>673</v>
      </c>
      <c r="E267" s="4" t="str">
        <f>"00971506262749"</f>
        <v>00971506262749</v>
      </c>
      <c r="F267" s="2" t="s">
        <v>13</v>
      </c>
      <c r="G267" s="2" t="s">
        <v>14</v>
      </c>
      <c r="H267" t="s">
        <v>15</v>
      </c>
      <c r="I267" s="1">
        <v>46086</v>
      </c>
      <c r="J267" t="s">
        <v>764</v>
      </c>
      <c r="K267" t="s">
        <v>765</v>
      </c>
    </row>
    <row r="268" spans="1:11" x14ac:dyDescent="0.25">
      <c r="A268" s="3">
        <v>46086</v>
      </c>
      <c r="B268" s="5" t="s">
        <v>763</v>
      </c>
      <c r="C268" s="5" t="s">
        <v>763</v>
      </c>
      <c r="D268" s="5" t="s">
        <v>673</v>
      </c>
      <c r="E268" s="4" t="str">
        <f>"00971581436585"</f>
        <v>00971581436585</v>
      </c>
      <c r="F268" s="2" t="s">
        <v>13</v>
      </c>
      <c r="G268" s="2" t="s">
        <v>14</v>
      </c>
      <c r="H268" t="s">
        <v>15</v>
      </c>
      <c r="I268" s="1">
        <v>46086</v>
      </c>
      <c r="J268" t="s">
        <v>764</v>
      </c>
      <c r="K268" t="s">
        <v>766</v>
      </c>
    </row>
    <row r="269" spans="1:11" x14ac:dyDescent="0.25">
      <c r="A269" s="3">
        <v>46086</v>
      </c>
      <c r="B269" s="5" t="s">
        <v>767</v>
      </c>
      <c r="C269" s="5" t="s">
        <v>767</v>
      </c>
      <c r="D269" s="5" t="s">
        <v>673</v>
      </c>
      <c r="E269" s="4" t="str">
        <f>"00971557352549"</f>
        <v>00971557352549</v>
      </c>
      <c r="F269" s="2" t="s">
        <v>13</v>
      </c>
      <c r="G269" s="2" t="s">
        <v>14</v>
      </c>
      <c r="H269" t="s">
        <v>15</v>
      </c>
      <c r="I269" s="1">
        <v>46086</v>
      </c>
      <c r="J269" t="s">
        <v>768</v>
      </c>
      <c r="K269" t="s">
        <v>769</v>
      </c>
    </row>
    <row r="270" spans="1:11" x14ac:dyDescent="0.25">
      <c r="A270" s="3">
        <v>46086</v>
      </c>
      <c r="B270" s="5" t="s">
        <v>770</v>
      </c>
      <c r="C270" s="5" t="s">
        <v>770</v>
      </c>
      <c r="D270" s="5" t="s">
        <v>673</v>
      </c>
      <c r="E270" s="4" t="str">
        <f>"00971551290385"</f>
        <v>00971551290385</v>
      </c>
      <c r="F270" s="2" t="s">
        <v>13</v>
      </c>
      <c r="G270" s="2" t="s">
        <v>14</v>
      </c>
      <c r="H270" t="s">
        <v>15</v>
      </c>
      <c r="I270" s="1">
        <v>46086</v>
      </c>
      <c r="J270" t="s">
        <v>771</v>
      </c>
      <c r="K270" t="s">
        <v>772</v>
      </c>
    </row>
    <row r="271" spans="1:11" x14ac:dyDescent="0.25">
      <c r="A271" s="3">
        <v>46086</v>
      </c>
      <c r="B271" s="5" t="s">
        <v>773</v>
      </c>
      <c r="C271" s="5" t="s">
        <v>773</v>
      </c>
      <c r="D271" s="5" t="s">
        <v>673</v>
      </c>
      <c r="E271" s="4" t="str">
        <f>"00971528149889"</f>
        <v>00971528149889</v>
      </c>
      <c r="F271" s="2" t="s">
        <v>13</v>
      </c>
      <c r="G271" s="2" t="s">
        <v>14</v>
      </c>
      <c r="H271" t="s">
        <v>15</v>
      </c>
      <c r="I271" s="1">
        <v>46086</v>
      </c>
      <c r="J271" t="s">
        <v>774</v>
      </c>
      <c r="K271" t="s">
        <v>775</v>
      </c>
    </row>
    <row r="272" spans="1:11" x14ac:dyDescent="0.25">
      <c r="A272" s="3">
        <v>46086</v>
      </c>
      <c r="B272" s="5" t="s">
        <v>773</v>
      </c>
      <c r="C272" s="5" t="s">
        <v>773</v>
      </c>
      <c r="D272" s="5" t="s">
        <v>673</v>
      </c>
      <c r="E272" s="4" t="str">
        <f>"00971558203217"</f>
        <v>00971558203217</v>
      </c>
      <c r="F272" s="2" t="s">
        <v>13</v>
      </c>
      <c r="G272" s="2" t="s">
        <v>14</v>
      </c>
      <c r="H272" t="s">
        <v>15</v>
      </c>
      <c r="I272" s="1">
        <v>46086</v>
      </c>
      <c r="J272" t="s">
        <v>774</v>
      </c>
      <c r="K272" t="s">
        <v>776</v>
      </c>
    </row>
    <row r="273" spans="1:11" x14ac:dyDescent="0.25">
      <c r="A273" s="3">
        <v>46086</v>
      </c>
      <c r="B273" s="5" t="s">
        <v>777</v>
      </c>
      <c r="C273" s="5" t="s">
        <v>777</v>
      </c>
      <c r="D273" s="5" t="s">
        <v>673</v>
      </c>
      <c r="E273" s="4" t="str">
        <f>"00971588500802"</f>
        <v>00971588500802</v>
      </c>
      <c r="F273" s="2" t="s">
        <v>13</v>
      </c>
      <c r="G273" s="2" t="s">
        <v>14</v>
      </c>
      <c r="H273" t="s">
        <v>15</v>
      </c>
      <c r="I273" s="1">
        <v>46086</v>
      </c>
      <c r="J273" t="s">
        <v>778</v>
      </c>
      <c r="K273" t="s">
        <v>779</v>
      </c>
    </row>
    <row r="274" spans="1:11" x14ac:dyDescent="0.25">
      <c r="A274" s="3">
        <v>46086</v>
      </c>
      <c r="B274" s="5" t="s">
        <v>780</v>
      </c>
      <c r="C274" s="5" t="s">
        <v>780</v>
      </c>
      <c r="D274" s="5" t="s">
        <v>781</v>
      </c>
      <c r="E274" s="4" t="str">
        <f>"00971565053279"</f>
        <v>00971565053279</v>
      </c>
      <c r="F274" s="2" t="s">
        <v>13</v>
      </c>
      <c r="G274" s="2" t="s">
        <v>14</v>
      </c>
      <c r="H274" t="s">
        <v>15</v>
      </c>
      <c r="I274" s="1">
        <v>46086</v>
      </c>
      <c r="J274" t="s">
        <v>782</v>
      </c>
      <c r="K274" t="s">
        <v>783</v>
      </c>
    </row>
    <row r="275" spans="1:11" x14ac:dyDescent="0.25">
      <c r="A275" s="3">
        <v>46086</v>
      </c>
      <c r="B275" s="5" t="s">
        <v>784</v>
      </c>
      <c r="C275" s="5" t="s">
        <v>784</v>
      </c>
      <c r="D275" s="5" t="s">
        <v>781</v>
      </c>
      <c r="E275" s="4" t="str">
        <f>"00971545811531"</f>
        <v>00971545811531</v>
      </c>
      <c r="F275" s="2" t="s">
        <v>13</v>
      </c>
      <c r="G275" s="2" t="s">
        <v>14</v>
      </c>
      <c r="H275" t="s">
        <v>15</v>
      </c>
      <c r="I275" s="1">
        <v>46086</v>
      </c>
      <c r="J275" t="s">
        <v>785</v>
      </c>
      <c r="K275" t="s">
        <v>786</v>
      </c>
    </row>
    <row r="276" spans="1:11" x14ac:dyDescent="0.25">
      <c r="A276" s="3">
        <v>46086</v>
      </c>
      <c r="B276" s="5" t="s">
        <v>787</v>
      </c>
      <c r="C276" s="5" t="s">
        <v>787</v>
      </c>
      <c r="D276" s="5" t="s">
        <v>781</v>
      </c>
      <c r="E276" s="4" t="str">
        <f>"00971543451673"</f>
        <v>00971543451673</v>
      </c>
      <c r="F276" s="2" t="s">
        <v>13</v>
      </c>
      <c r="G276" s="2" t="s">
        <v>14</v>
      </c>
      <c r="H276" t="s">
        <v>15</v>
      </c>
      <c r="I276" s="1">
        <v>46086</v>
      </c>
      <c r="J276" t="s">
        <v>788</v>
      </c>
      <c r="K276" t="s">
        <v>789</v>
      </c>
    </row>
    <row r="277" spans="1:11" x14ac:dyDescent="0.25">
      <c r="A277" s="3">
        <v>46086</v>
      </c>
      <c r="B277" s="5" t="s">
        <v>790</v>
      </c>
      <c r="C277" s="5" t="s">
        <v>790</v>
      </c>
      <c r="D277" s="5" t="s">
        <v>781</v>
      </c>
      <c r="E277" s="4" t="str">
        <f>"00971508676858"</f>
        <v>00971508676858</v>
      </c>
      <c r="F277" s="2" t="s">
        <v>13</v>
      </c>
      <c r="G277" s="2" t="s">
        <v>14</v>
      </c>
      <c r="H277" t="s">
        <v>15</v>
      </c>
      <c r="I277" s="1">
        <v>46086</v>
      </c>
      <c r="J277" t="s">
        <v>791</v>
      </c>
      <c r="K277" t="s">
        <v>792</v>
      </c>
    </row>
    <row r="278" spans="1:11" x14ac:dyDescent="0.25">
      <c r="A278" s="3">
        <v>46086</v>
      </c>
      <c r="B278" s="5" t="s">
        <v>793</v>
      </c>
      <c r="C278" s="5" t="s">
        <v>793</v>
      </c>
      <c r="D278" s="5" t="s">
        <v>781</v>
      </c>
      <c r="E278" s="4" t="str">
        <f>"00971504972907"</f>
        <v>00971504972907</v>
      </c>
      <c r="F278" s="2" t="s">
        <v>13</v>
      </c>
      <c r="G278" s="2" t="s">
        <v>14</v>
      </c>
      <c r="H278" t="s">
        <v>15</v>
      </c>
      <c r="I278" s="1">
        <v>46086</v>
      </c>
      <c r="J278" t="s">
        <v>794</v>
      </c>
      <c r="K278" t="s">
        <v>795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TEMP_LEADS_MOBILE_ONLY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Network Master</cp:lastModifiedBy>
  <dcterms:created xsi:type="dcterms:W3CDTF">2026-03-05T23:24:30Z</dcterms:created>
  <dcterms:modified xsi:type="dcterms:W3CDTF">2026-03-05T23:24:30Z</dcterms:modified>
</cp:coreProperties>
</file>