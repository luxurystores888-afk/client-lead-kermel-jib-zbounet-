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b7891681c32f5/Desktop/client lead/organized/"/>
    </mc:Choice>
  </mc:AlternateContent>
  <xr:revisionPtr revIDLastSave="0" documentId="8_{79B3CB56-72B2-4605-8A87-F05A80AD9578}" xr6:coauthVersionLast="47" xr6:coauthVersionMax="47" xr10:uidLastSave="{00000000-0000-0000-0000-000000000000}"/>
  <bookViews>
    <workbookView xWindow="-108" yWindow="-108" windowWidth="23256" windowHeight="12456" xr2:uid="{6A68AB63-88BC-4455-B715-7C456D36A26E}"/>
  </bookViews>
  <sheets>
    <sheet name="TEMP_LEADS_Abu_Dha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</calcChain>
</file>

<file path=xl/sharedStrings.xml><?xml version="1.0" encoding="utf-8"?>
<sst xmlns="http://schemas.openxmlformats.org/spreadsheetml/2006/main" count="979" uniqueCount="349">
  <si>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</si>
  <si>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</si>
  <si>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</si>
  <si>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</si>
  <si>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</si>
  <si>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</si>
  <si>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</si>
  <si>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</si>
  <si>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</si>
  <si>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</si>
  <si>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lead_id</t>
  </si>
  <si>
    <t>007 Mobile Phones Est</t>
  </si>
  <si>
    <t>Abu Dhabi</t>
  </si>
  <si>
    <t>WhatsApp</t>
  </si>
  <si>
    <t>NEW</t>
  </si>
  <si>
    <t>Review and send compliant outreach</t>
  </si>
  <si>
    <t>YellowPages UAE profile | landline_or_tollfree | https://www.yellowpages-uae.com/007-mobile-phones-est-163697</t>
  </si>
  <si>
    <t>UAE0001</t>
  </si>
  <si>
    <t>02 Mobile Phones</t>
  </si>
  <si>
    <t>YellowPages UAE profile | landline_or_tollfree | https://www.yellowpages-uae.com/02-mobile-phones-163691</t>
  </si>
  <si>
    <t>UAE0002</t>
  </si>
  <si>
    <t>10 Star General Maint LLC</t>
  </si>
  <si>
    <t>YellowPages UAE profile | landline_or_tollfree | https://www.yellowpages-uae.com/10-star-general-maint-llc-140248</t>
  </si>
  <si>
    <t>UAE0003</t>
  </si>
  <si>
    <t>109 Architecture and Engineering Cunsulting</t>
  </si>
  <si>
    <t>YellowPages UAE profile | landline_or_tollfree | https://www.yellowpages-uae.com/109-architecture-and-engineering-cunsulting-133921</t>
  </si>
  <si>
    <t>UAE0004</t>
  </si>
  <si>
    <t>18 Degree</t>
  </si>
  <si>
    <t>YellowPages UAE profile | landline_or_tollfree | https://www.yellowpages-uae.com/18-degree-175665</t>
  </si>
  <si>
    <t>UAE0005</t>
  </si>
  <si>
    <t>19 Media Events and Marketing</t>
  </si>
  <si>
    <t>YellowPages UAE profile | mobile | https://www.yellowpages-uae.com/19-media-events-and-marketing-194736</t>
  </si>
  <si>
    <t>UAE0006</t>
  </si>
  <si>
    <t>UAE0007</t>
  </si>
  <si>
    <t>2010 Safety and Protection Consultancy</t>
  </si>
  <si>
    <t>YellowPages UAE profile | landline_or_tollfree | https://www.yellowpages-uae.com/2010-safety-and-protection-consultancy-138100</t>
  </si>
  <si>
    <t>UAE0008</t>
  </si>
  <si>
    <t>24 Hours Grocery</t>
  </si>
  <si>
    <t>YellowPages UAE profile | landline_or_tollfree | https://www.yellowpages-uae.com/24-hours-grocery-165111</t>
  </si>
  <si>
    <t>UAE0009</t>
  </si>
  <si>
    <t>360 Facilities Management and Interiors</t>
  </si>
  <si>
    <t>YellowPages UAE profile | landline_or_tollfree | https://www.yellowpages-uae.com/360-facilities-management-and-interiors-193562</t>
  </si>
  <si>
    <t>UAE0010</t>
  </si>
  <si>
    <t>YellowPages UAE profile | mobile | https://www.yellowpages-uae.com/360-facilities-management-and-interiors-193562</t>
  </si>
  <si>
    <t>UAE0011</t>
  </si>
  <si>
    <t>360Passenger</t>
  </si>
  <si>
    <t>YellowPages UAE profile | mobile | https://www.yellowpages-uae.com/360passenger-188602</t>
  </si>
  <si>
    <t>UAE0012</t>
  </si>
  <si>
    <t>UAE0013</t>
  </si>
  <si>
    <t>3D Arch</t>
  </si>
  <si>
    <t>YellowPages UAE profile | landline_or_tollfree | https://www.yellowpages-uae.com/3d-arch-181669</t>
  </si>
  <si>
    <t>UAE0014</t>
  </si>
  <si>
    <t>YellowPages UAE profile | mobile | https://www.yellowpages-uae.com/3d-arch-181669</t>
  </si>
  <si>
    <t>UAE0015</t>
  </si>
  <si>
    <t>3M Gulf Limited</t>
  </si>
  <si>
    <t>YellowPages UAE profile | landline_or_tollfree | https://www.yellowpages-uae.com/3m-gulf-limited-176048</t>
  </si>
  <si>
    <t>UAE0016</t>
  </si>
  <si>
    <t>4 Style Interiors</t>
  </si>
  <si>
    <t>YellowPages UAE profile | landline_or_tollfree | https://www.yellowpages-uae.com/4-style-interiors-125548</t>
  </si>
  <si>
    <t>UAE0017</t>
  </si>
  <si>
    <t>49'er Gold Rush - Dana Hotel</t>
  </si>
  <si>
    <t>YellowPages UAE profile | landline_or_tollfree | https://www.yellowpages-uae.com/49-er-gold-rush-dana-hotel-112715</t>
  </si>
  <si>
    <t>UAE0018</t>
  </si>
  <si>
    <t>YellowPages UAE profile | mobile | https://www.yellowpages-uae.com/49-er-gold-rush-dana-hotel-112715</t>
  </si>
  <si>
    <t>UAE0019</t>
  </si>
  <si>
    <t>UAE0020</t>
  </si>
  <si>
    <t>4Cs Diamond</t>
  </si>
  <si>
    <t>YellowPages UAE profile | landline_or_tollfree | https://www.yellowpages-uae.com/4cs-diamond-142598</t>
  </si>
  <si>
    <t>UAE0021</t>
  </si>
  <si>
    <t>4D Valves And Fitting Trading Llc</t>
  </si>
  <si>
    <t>YellowPages UAE profile | landline_or_tollfree | https://www.yellowpages-uae.com/4d-valves-and-fitting-trading-llc-182494</t>
  </si>
  <si>
    <t>UAE0022</t>
  </si>
  <si>
    <t>4D Valves and Fittings trading LLC</t>
  </si>
  <si>
    <t>YellowPages UAE profile | landline_or_tollfree | https://www.yellowpages-uae.com/4d-valves-and-fittings-trading-llc-182605</t>
  </si>
  <si>
    <t>UAE0023</t>
  </si>
  <si>
    <t>YellowPages UAE profile | mobile | https://www.yellowpages-uae.com/4d-valves-and-fittings-trading-llc-182605</t>
  </si>
  <si>
    <t>UAE0024</t>
  </si>
  <si>
    <t>4th Dimension Interior Design Company LLC</t>
  </si>
  <si>
    <t>YellowPages UAE profile | landline_or_tollfree | https://www.yellowpages-uae.com/4th-dimension-interior-design-company-llc-140355</t>
  </si>
  <si>
    <t>UAE0025</t>
  </si>
  <si>
    <t>55 &amp; 5th Restaurant</t>
  </si>
  <si>
    <t>YellowPages UAE profile | landline_or_tollfree | https://www.yellowpages-uae.com/55-5th-restaurant-175732</t>
  </si>
  <si>
    <t>UAE0026</t>
  </si>
  <si>
    <t>55 &amp; 5th The Grill</t>
  </si>
  <si>
    <t>YellowPages UAE profile | landline_or_tollfree | https://www.yellowpages-uae.com/55-5th-the-grill-173563</t>
  </si>
  <si>
    <t>UAE0027</t>
  </si>
  <si>
    <t>7 Emirates Supermarket</t>
  </si>
  <si>
    <t>YellowPages UAE profile | landline_or_tollfree | https://www.yellowpages-uae.com/7-emirates-supermarket-132603</t>
  </si>
  <si>
    <t>UAE0028</t>
  </si>
  <si>
    <t>A &amp; O Electromechanical Works</t>
  </si>
  <si>
    <t>YellowPages UAE profile | mobile | https://www.yellowpages-uae.com/a-o-electromechanical-works-194409</t>
  </si>
  <si>
    <t>UAE0029</t>
  </si>
  <si>
    <t>A A A Silver Eagle International</t>
  </si>
  <si>
    <t>YellowPages UAE profile | landline_or_tollfree | https://www.yellowpages-uae.com/a-a-a-silver-eagle-international-115153</t>
  </si>
  <si>
    <t>UAE0030</t>
  </si>
  <si>
    <t>A A Brothers</t>
  </si>
  <si>
    <t>YellowPages UAE profile | landline_or_tollfree | https://www.yellowpages-uae.com/a-a-brothers-111467</t>
  </si>
  <si>
    <t>UAE0031</t>
  </si>
  <si>
    <t>A Al Saeedi Blacksmith and Welding Shop</t>
  </si>
  <si>
    <t>YellowPages UAE profile | landline_or_tollfree | https://www.yellowpages-uae.com/a-al-saeedi-blacksmith-and-welding-shop-126558</t>
  </si>
  <si>
    <t>UAE0032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</si>
  <si>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</si>
  <si>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</si>
  <si>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UAE0033</t>
  </si>
  <si>
    <t>UAE0034</t>
  </si>
  <si>
    <t>A B C Private School LLC</t>
  </si>
  <si>
    <t>YellowPages UAE profile | landline_or_tollfree | https://www.yellowpages-uae.com/a-b-c-private-school-llc-131871</t>
  </si>
  <si>
    <t>UAE0035</t>
  </si>
  <si>
    <t>A B S Europe</t>
  </si>
  <si>
    <t>YellowPages UAE profile | landline_or_tollfree | https://www.yellowpages-uae.com/a-b-s-europe-148084</t>
  </si>
  <si>
    <t>UAE0036</t>
  </si>
  <si>
    <t>A B S Group Consulting Inc</t>
  </si>
  <si>
    <t>YellowPages UAE profile | landline_or_tollfree | https://www.yellowpages-uae.com/a-b-s-group-consulting-inc-108526</t>
  </si>
  <si>
    <t>UAE0037</t>
  </si>
  <si>
    <t>A G S</t>
  </si>
  <si>
    <t>YellowPages UAE profile | landline_or_tollfree | https://www.yellowpages-uae.com/a-g-s-144767</t>
  </si>
  <si>
    <t>UAE0038</t>
  </si>
  <si>
    <t>A K M Group Of Companies</t>
  </si>
  <si>
    <t>YellowPages UAE profile | landline_or_tollfree | https://www.yellowpages-uae.com/a-k-m-group-of-companies-163630</t>
  </si>
  <si>
    <t>UAE0039</t>
  </si>
  <si>
    <t>A K M Music Centre</t>
  </si>
  <si>
    <t>YellowPages UAE profile | landline_or_tollfree | https://www.yellowpages-uae.com/a-k-m-music-centre-111058</t>
  </si>
  <si>
    <t>UAE0040</t>
  </si>
  <si>
    <t>A K Trailer</t>
  </si>
  <si>
    <t>YellowPages UAE profile | mobile | https://www.yellowpages-uae.com/a-k-trailer-117253</t>
  </si>
  <si>
    <t>UAE0041</t>
  </si>
  <si>
    <t>A L E (Middle East) LLC</t>
  </si>
  <si>
    <t>YellowPages UAE profile | landline_or_tollfree | https://www.yellowpages-uae.com/a-l-e-middle-east-llc-119354</t>
  </si>
  <si>
    <t>UAE0042</t>
  </si>
  <si>
    <t>A M M Grocery LLC</t>
  </si>
  <si>
    <t>YellowPages UAE profile | landline_or_tollfree | https://www.yellowpages-uae.com/a-m-m-grocery-llc-165112</t>
  </si>
  <si>
    <t>UAE0043</t>
  </si>
  <si>
    <t>A M Typing &amp; Photocopy</t>
  </si>
  <si>
    <t>YellowPages UAE profile | landline_or_tollfree | https://www.yellowpages-uae.com/a-m-typing-photocopy-147447</t>
  </si>
  <si>
    <t>UAE0044</t>
  </si>
  <si>
    <t>A One Technology Fire Safety and Security System LLC</t>
  </si>
  <si>
    <t>YellowPages UAE profile | landline_or_tollfree | https://www.yellowpages-uae.com/a-one-technology-fire-safety-and-security-system-llc-153677</t>
  </si>
  <si>
    <t>UAE0045</t>
  </si>
  <si>
    <t>YellowPages UAE profile | mobile | https://www.yellowpages-uae.com/a-one-technology-fire-safety-and-security-system-llc-153677</t>
  </si>
  <si>
    <t>UAE0046</t>
  </si>
  <si>
    <t>A P C C - Al Dafrah Pipeline and Contg Co</t>
  </si>
  <si>
    <t>YellowPages UAE profile | landline_or_tollfree | https://www.yellowpages-uae.com/a-p-c-c-al-dafrah-pipeline-and-contg-co-104962</t>
  </si>
  <si>
    <t>UAE0047</t>
  </si>
  <si>
    <t>A P G Care Group</t>
  </si>
  <si>
    <t>YellowPages UAE profile | landline_or_tollfree | https://www.yellowpages-uae.com/a-p-g-care-group-150329</t>
  </si>
  <si>
    <t>UAE0048</t>
  </si>
  <si>
    <t>A Plus Advertising LLC</t>
  </si>
  <si>
    <t>YellowPages UAE profile | landline_or_tollfree | https://www.yellowpages-uae.com/a-plus-advertising-194432</t>
  </si>
  <si>
    <t>UAE0049</t>
  </si>
  <si>
    <t>YellowPages UAE profile | mobile | https://www.yellowpages-uae.com/a-plus-advertising-194432</t>
  </si>
  <si>
    <t>UAE0050</t>
  </si>
  <si>
    <t>A R Al Saqqaf Gen Cont Transport</t>
  </si>
  <si>
    <t>YellowPages UAE profile | landline_or_tollfree | https://www.yellowpages-uae.com/a-r-al-saqqaf-gen-cont-transport-148542</t>
  </si>
  <si>
    <t>UAE0051</t>
  </si>
  <si>
    <t>A to Z Electronics</t>
  </si>
  <si>
    <t>YellowPages UAE profile | mobile | https://www.yellowpages-uae.com/a-to-z-electronics-149113</t>
  </si>
  <si>
    <t>UAE0052</t>
  </si>
  <si>
    <t>UAE0053</t>
  </si>
  <si>
    <t>A to Z Hotel &amp; Office Trading Est</t>
  </si>
  <si>
    <t>YellowPages UAE profile | landline_or_tollfree | https://www.yellowpages-uae.com/a-to-z-hotel-office-trading-est-169397</t>
  </si>
  <si>
    <t>UAE0054</t>
  </si>
  <si>
    <t>A To Z International Accessories</t>
  </si>
  <si>
    <t>YellowPages UAE profile | landline_or_tollfree | https://www.yellowpages-uae.com/a-to-z-international-accessories-154441</t>
  </si>
  <si>
    <t>UAE0055</t>
  </si>
  <si>
    <t>YellowPages UAE profile | mobile | https://www.yellowpages-uae.com/a-to-z-international-accessories-154441</t>
  </si>
  <si>
    <t>UAE0056</t>
  </si>
  <si>
    <t>A Touch of Class Design and Decor</t>
  </si>
  <si>
    <t>YellowPages UAE profile | landline_or_tollfree | https://www.yellowpages-uae.com/a-touch-of-class-design-and-decor-123538</t>
  </si>
  <si>
    <t>UAE0057</t>
  </si>
  <si>
    <t>A W Rostamani Lumina LLC</t>
  </si>
  <si>
    <t>YellowPages UAE profile | landline_or_tollfree | https://www.yellowpages-uae.com/a-w-rostamani-lumina-llc-108522</t>
  </si>
  <si>
    <t>UAE0058</t>
  </si>
  <si>
    <t>A&amp;M International General Contracting LLC</t>
  </si>
  <si>
    <t>YellowPages UAE profile | landline_or_tollfree | https://www.yellowpages-uae.com/a-m-international-general-contracting-llc-185942</t>
  </si>
  <si>
    <t>UAE0059</t>
  </si>
  <si>
    <t>A1 Maintenance and Cleaning Services LLC</t>
  </si>
  <si>
    <t>YellowPages UAE profile | mobile | https://www.yellowpages-uae.com/a1-maintenance-and-cleaning-services-llc-187570</t>
  </si>
  <si>
    <t>UAE0060</t>
  </si>
  <si>
    <t>UAE0061</t>
  </si>
  <si>
    <t>A2Z Debt Collection</t>
  </si>
  <si>
    <t>YellowPages UAE profile | landline_or_tollfree | https://www.yellowpages-uae.com/a2z-debt-collection-192705</t>
  </si>
  <si>
    <t>UAE0062</t>
  </si>
  <si>
    <t>YellowPages UAE profile | mobile | https://www.yellowpages-uae.com/a2z-debt-collection-192705</t>
  </si>
  <si>
    <t>UAE0063</t>
  </si>
  <si>
    <t>AA Handyman &amp; Electrical Maintenance Services</t>
  </si>
  <si>
    <t>YellowPages UAE profile | mobile | https://www.yellowpages-uae.com/aa-handyman-electrical-maintenance-services-169312</t>
  </si>
  <si>
    <t>UAE0064</t>
  </si>
  <si>
    <t>AAAI - Al Ain Automatic Irrigation Company LLC</t>
  </si>
  <si>
    <t>YellowPages UAE profile | landline_or_tollfree | https://www.yellowpages-uae.com/aaai-al-ain-automatic-irrigation-company-llc-109839</t>
  </si>
  <si>
    <t>UAE0065</t>
  </si>
  <si>
    <t>YellowPages UAE profile | mobile | https://www.yellowpages-uae.com/aaai-al-ain-automatic-irrigation-company-llc-109839</t>
  </si>
  <si>
    <t>UAE0066</t>
  </si>
  <si>
    <t>Aabar Properties LLC</t>
  </si>
  <si>
    <t>YellowPages UAE profile | landline_or_tollfree | https://www.yellowpages-uae.com/aabar-properties-llc-172363</t>
  </si>
  <si>
    <t>UAE0067</t>
  </si>
  <si>
    <t>AAF International Air Filtration Systems LLC</t>
  </si>
  <si>
    <t>YellowPages UAE profile | landline_or_tollfree | https://www.yellowpages-uae.com/aaf-international-air-filtration-systems-llc-169318</t>
  </si>
  <si>
    <t>UAE0068</t>
  </si>
  <si>
    <t>Aalian Supermarket</t>
  </si>
  <si>
    <t>YellowPages UAE profile | landline_or_tollfree | https://www.yellowpages-uae.com/aalian-supermarket-128227</t>
  </si>
  <si>
    <t>UAE0069</t>
  </si>
  <si>
    <t>Aaref Grocery</t>
  </si>
  <si>
    <t>YellowPages UAE profile | landline_or_tollfree | https://www.yellowpages-uae.com/aaref-grocery-169374</t>
  </si>
  <si>
    <t>UAE0070</t>
  </si>
  <si>
    <t>Aariya Health Consultancy LLC</t>
  </si>
  <si>
    <t>YellowPages UAE profile | landline_or_tollfree | https://www.yellowpages-uae.com/aariya-health-consultancy-llc-176920</t>
  </si>
  <si>
    <t>UAE0071</t>
  </si>
  <si>
    <t>Aarya Properties LLC</t>
  </si>
  <si>
    <t>YellowPages UAE profile | landline_or_tollfree | https://www.yellowpages-uae.com/aarya-properties-llc-172364</t>
  </si>
  <si>
    <t>UAE0072</t>
  </si>
  <si>
    <t>AB Middle East</t>
  </si>
  <si>
    <t>YellowPages UAE profile | mobile | https://www.yellowpages-uae.com/ab-middle-east-190414</t>
  </si>
  <si>
    <t>UAE0073</t>
  </si>
  <si>
    <t>AB Tanks Contracting</t>
  </si>
  <si>
    <t>YellowPages UAE profile | landline_or_tollfree | https://www.yellowpages-uae.com/ab-tanks-contracting-181378</t>
  </si>
  <si>
    <t>UAE0074</t>
  </si>
  <si>
    <t>YellowPages UAE profile | mobile | https://www.yellowpages-uae.com/ab-tanks-contracting-181378</t>
  </si>
  <si>
    <t>UAE0075</t>
  </si>
  <si>
    <t>Abaad Wood Industries</t>
  </si>
  <si>
    <t>YellowPages UAE profile | landline_or_tollfree | https://www.yellowpages-uae.com/abaad-wood-industries-146448</t>
  </si>
  <si>
    <t>UAE0076</t>
  </si>
  <si>
    <t>Abacus Scaffolding Installation Works</t>
  </si>
  <si>
    <t>YellowPages UAE profile | landline_or_tollfree | https://www.yellowpages-uae.com/abacus-scaffolding-installation-works-122646</t>
  </si>
  <si>
    <t>UAE0077</t>
  </si>
  <si>
    <t>Abaya Palace</t>
  </si>
  <si>
    <t>YellowPages UAE profile | landline_or_tollfree | https://www.yellowpages-uae.com/abaya-palace-138193</t>
  </si>
  <si>
    <t>UAE0078</t>
  </si>
  <si>
    <t>ABB Transmission and Distbn Limited</t>
  </si>
  <si>
    <t>YellowPages UAE profile | landline_or_tollfree | https://www.yellowpages-uae.com/abb-transmission-and-distbn-limited-127210</t>
  </si>
  <si>
    <t>UAE0079</t>
  </si>
  <si>
    <t>ABB Vetco Gray</t>
  </si>
  <si>
    <t>YellowPages UAE profile | landline_or_tollfree | https://www.yellowpages-uae.com/abb-vetco-gray-128395</t>
  </si>
  <si>
    <t>UAE0080</t>
  </si>
  <si>
    <t>Abba Electronics LLC</t>
  </si>
  <si>
    <t>YellowPages UAE profile | landline_or_tollfree | https://www.yellowpages-uae.com/abba-electronics-llc-110021</t>
  </si>
  <si>
    <t>UAE0081</t>
  </si>
  <si>
    <t>Abba Herbal Preparations</t>
  </si>
  <si>
    <t>YellowPages UAE profile | landline_or_tollfree | https://www.yellowpages-uae.com/abba-herbal-preparations-116379</t>
  </si>
  <si>
    <t>UAE0082</t>
  </si>
  <si>
    <t>Abbas Hussain Mohd Clinic, Dr</t>
  </si>
  <si>
    <t>YellowPages UAE profile | landline_or_tollfree | https://www.yellowpages-uae.com/abbas-hussain-mohd-clinic-dr-111542</t>
  </si>
  <si>
    <t>UAE0083</t>
  </si>
  <si>
    <t>YellowPages UAE profile | mobile | https://www.yellowpages-uae.com/abbas-hussain-mohd-clinic-dr-111542</t>
  </si>
  <si>
    <t>UAE0084</t>
  </si>
  <si>
    <t>Abbas Mohammed Hussain Hardware &amp; Tools LLC</t>
  </si>
  <si>
    <t>YellowPages UAE profile | landline_or_tollfree | https://www.yellowpages-uae.com/abbas-mohammed-hussain-hardware-tools-llc-177088</t>
  </si>
  <si>
    <t>UAE0085</t>
  </si>
  <si>
    <t>YellowPages UAE profile | mobile | https://www.yellowpages-uae.com/abbas-mohammed-hussain-hardware-tools-llc-177088</t>
  </si>
  <si>
    <t>UAE0086</t>
  </si>
  <si>
    <t>Abc Balloons</t>
  </si>
  <si>
    <t>YellowPages UAE profile | landline_or_tollfree | https://www.yellowpages-uae.com/abc-balloons-182267</t>
  </si>
  <si>
    <t>UAE0087</t>
  </si>
  <si>
    <t>YellowPages UAE profile | mobile | https://www.yellowpages-uae.com/abc-balloons-182267</t>
  </si>
  <si>
    <t>UAE0088</t>
  </si>
  <si>
    <t>ABC Computer Gallery</t>
  </si>
  <si>
    <t>YellowPages UAE profile | landline_or_tollfree | https://www.yellowpages-uae.com/abc-computer-gallery-153368</t>
  </si>
  <si>
    <t>UAE0089</t>
  </si>
  <si>
    <t>YellowPages UAE profile | mobile | https://www.yellowpages-uae.com/abc-computer-gallery-153368</t>
  </si>
  <si>
    <t>UAE0090</t>
  </si>
  <si>
    <t>ABC Doors and Shutters LLC</t>
  </si>
  <si>
    <t>YellowPages UAE profile | mobile | https://www.yellowpages-uae.com/abc-doors-and-shutters-llc-190778</t>
  </si>
  <si>
    <t>UAE0091</t>
  </si>
  <si>
    <t>Abdan Grocery</t>
  </si>
  <si>
    <t>YellowPages UAE profile | landline_or_tollfree | https://www.yellowpages-uae.com/abdan-grocery-165113</t>
  </si>
  <si>
    <t>UAE0092</t>
  </si>
  <si>
    <t>Abdu Supermarket LLC</t>
  </si>
  <si>
    <t>YellowPages UAE profile | landline_or_tollfree | https://www.yellowpages-uae.com/abdu-supermarket-llc-133102</t>
  </si>
  <si>
    <t>UAE0093</t>
  </si>
  <si>
    <t>Abdul Alem Spare Parts</t>
  </si>
  <si>
    <t>YellowPages UAE profile | landline_or_tollfree | https://www.yellowpages-uae.com/abdul-alem-spare-parts-142459</t>
  </si>
  <si>
    <t>UAE0094</t>
  </si>
  <si>
    <t>Abdul Aziz Al Ameri Lawyers and Legal Consultants</t>
  </si>
  <si>
    <t>YellowPages UAE profile | landline_or_tollfree | https://www.yellowpages-uae.com/abdul-aziz-al-ameri-lawyers-and-legal-consultants-133458</t>
  </si>
  <si>
    <t>UAE0095</t>
  </si>
  <si>
    <t>Abdul Aziz Bin Rubaya and Son</t>
  </si>
  <si>
    <t>YellowPages UAE profile | landline_or_tollfree | https://www.yellowpages-uae.com/abdul-aziz-bin-rubaya-and-son-120305</t>
  </si>
  <si>
    <t>UAE0096</t>
  </si>
  <si>
    <t>Abdul Gafoor Bava Grocery</t>
  </si>
  <si>
    <t>YellowPages UAE profile | landline_or_tollfree | https://www.yellowpages-uae.com/abdul-gafoor-bava-grocery-165114</t>
  </si>
  <si>
    <t>UAE0097</t>
  </si>
  <si>
    <t>Abdul Hakim Auto Electric</t>
  </si>
  <si>
    <t>YellowPages UAE profile | landline_or_tollfree | https://www.yellowpages-uae.com/abdul-hakim-auto-electric-118923</t>
  </si>
  <si>
    <t>UAE0098</t>
  </si>
  <si>
    <t>Abdul Haq Mobile Phones</t>
  </si>
  <si>
    <t>YellowPages UAE profile | landline_or_tollfree | https://www.yellowpages-uae.com/abdul-haq-mobile-phones-126739</t>
  </si>
  <si>
    <t>UAE0099</t>
  </si>
  <si>
    <t>Abdul Haque Turning Workshop</t>
  </si>
  <si>
    <t>YellowPages UAE profile | landline_or_tollfree | https://www.yellowpages-uae.com/abdul-haque-turning-workshop-141844</t>
  </si>
  <si>
    <t>UAE0100</t>
  </si>
  <si>
    <t>YellowPages UAE profile | mobile | https://www.yellowpages-uae.com/abdul-haque-turning-workshop-141844</t>
  </si>
  <si>
    <t>UAE0101</t>
  </si>
  <si>
    <t>Abdul Jabar General Contracting</t>
  </si>
  <si>
    <t>YellowPages UAE profile | mobile | https://www.yellowpages-uae.com/abdul-jabar-general-contracting-175374</t>
  </si>
  <si>
    <t>UAE0102</t>
  </si>
  <si>
    <t>Abdul Jaleel Legal Translation</t>
  </si>
  <si>
    <t>YellowPages UAE profile | landline_or_tollfree | https://www.yellowpages-uae.com/abdul-jaleel-legal-translation-122063</t>
  </si>
  <si>
    <t>UAE0103</t>
  </si>
  <si>
    <t>Abdul Kader Grocery</t>
  </si>
  <si>
    <t>YellowPages UAE profile | landline_or_tollfree | https://www.yellowpages-uae.com/abdul-kader-grocery-165115</t>
  </si>
  <si>
    <t>UAE0104</t>
  </si>
  <si>
    <t>Abdul Khair Laundry</t>
  </si>
  <si>
    <t>YellowPages UAE profile | landline_or_tollfree | https://www.yellowpages-uae.com/abdul-khair-laundry-131878</t>
  </si>
  <si>
    <t>UAE0105</t>
  </si>
  <si>
    <t>Abdul Latif Calligraphy and Drawing</t>
  </si>
  <si>
    <t>YellowPages UAE profile | landline_or_tollfree | https://www.yellowpages-uae.com/abdul-latif-calligraphy-and-drawing-120130</t>
  </si>
  <si>
    <t>UAE0106</t>
  </si>
  <si>
    <t>Abdul Majeed Al Marzooqi Auditing Office</t>
  </si>
  <si>
    <t>YellowPages UAE profile | landline_or_tollfree | https://www.yellowpages-uae.com/abdul-majeed-al-marzooqi-auditing-office-135786</t>
  </si>
  <si>
    <t>UAE0107</t>
  </si>
  <si>
    <t>Abdul Majid Foodstuff &amp; Grocery</t>
  </si>
  <si>
    <t>YellowPages UAE profile | landline_or_tollfree | https://www.yellowpages-uae.com/abdul-majid-foodstuff-grocery-165116</t>
  </si>
  <si>
    <t>UAE0108</t>
  </si>
  <si>
    <t>Abdul Monem Al Rashed Building Matl Trading</t>
  </si>
  <si>
    <t>YellowPages UAE profile | landline_or_tollfree | https://www.yellowpages-uae.com/abdul-monem-al-rashed-building-matl-trading-140011</t>
  </si>
  <si>
    <t>UAE0109</t>
  </si>
  <si>
    <t>Abdul Moula Grocery</t>
  </si>
  <si>
    <t>YellowPages UAE profile | landline_or_tollfree | https://www.yellowpages-uae.com/abdul-moula-grocery-165117</t>
  </si>
  <si>
    <t>UAE0110</t>
  </si>
  <si>
    <t>Abdul Qadeer Elec and A/C Rep</t>
  </si>
  <si>
    <t>YellowPages UAE profile | landline_or_tollfree | https://www.yellowpages-uae.com/abdul-qadeer-elec-and-a-c-rep-136188</t>
  </si>
  <si>
    <t>UAE0111</t>
  </si>
  <si>
    <t>Abdul Rahaman Al Hamed Trading Establishment</t>
  </si>
  <si>
    <t>YellowPages UAE profile | landline_or_tollfree | https://www.yellowpages-uae.com/abdul-rahaman-al-hamed-trading-establishment-142014</t>
  </si>
  <si>
    <t>UAE0112</t>
  </si>
  <si>
    <t>Abdul Rahim Trading Establishment</t>
  </si>
  <si>
    <t>YellowPages UAE profile | landline_or_tollfree | https://www.yellowpages-uae.com/abdul-rahim-trading-establishment-123166</t>
  </si>
  <si>
    <t>UAE0113</t>
  </si>
  <si>
    <t>YellowPages UAE profile | mobile | https://www.yellowpages-uae.com/abdul-rahim-trading-establishment-123166</t>
  </si>
  <si>
    <t>UAE0114</t>
  </si>
  <si>
    <t>Abdul Rahman Kassim LLC</t>
  </si>
  <si>
    <t>YellowPages UAE profile | landline_or_tollfree | https://www.yellowpages-uae.com/abdul-rahman-kassim-llc-118675</t>
  </si>
  <si>
    <t>UAE0115</t>
  </si>
  <si>
    <t>Abdul Rasheed Electronics Trading</t>
  </si>
  <si>
    <t>YellowPages UAE profile | landline_or_tollfree | https://www.yellowpages-uae.com/abdul-rasheed-electronics-trading-150326</t>
  </si>
  <si>
    <t>UAE0116</t>
  </si>
  <si>
    <t>Abdul Razaq Mohm. Manual Carpentry</t>
  </si>
  <si>
    <t>YellowPages UAE profile | landline_or_tollfree | https://www.yellowpages-uae.com/abdul-razaq-mohm-manual-carpentry-150687</t>
  </si>
  <si>
    <t>UAE0117</t>
  </si>
  <si>
    <t>Abdul Rehman Ghulam Building Equipment Rentals LLC</t>
  </si>
  <si>
    <t>YellowPages UAE profile | landline_or_tollfree | https://www.yellowpages-uae.com/abdul-rehman-ghulam-building-equipment-rentals-llc-191668</t>
  </si>
  <si>
    <t>UAE0118</t>
  </si>
  <si>
    <t>YellowPages UAE profile | mobile | https://www.yellowpages-uae.com/abdul-rehman-ghulam-building-equipment-rentals-llc-191668</t>
  </si>
  <si>
    <t>UAE0119</t>
  </si>
  <si>
    <t>Abdul Rouf Muhammad Elect</t>
  </si>
  <si>
    <t>YellowPages UAE profile | landline_or_tollfree | https://www.yellowpages-uae.com/abdul-rouf-muhammad-elect-145392</t>
  </si>
  <si>
    <t>UAE0120</t>
  </si>
  <si>
    <t>Future Star Super Market LLC</t>
  </si>
  <si>
    <t>YellowPages UAE profile | landline_or_tollfree | https://www.yellowpages-uae.com/abdul-majeed-bicycle-139221</t>
  </si>
  <si>
    <t>UAE0121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</si>
</sst>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CDA65-B240-4409-938D-64DA651C5855}" name="T_ZabayenAbuDhabiVIP" displayName="T_ZabayenAbuDhabiVIP" ref="A1:K122" totalsRowShown="0" headerRowDxfId="0">
  <autoFilter ref="A1:K122" xr:uid="{1B8CDA65-B240-4409-938D-64DA651C5855}"/>
  <tableColumns count="11">
    <tableColumn id="1" xr3:uid="{A6603921-3ACF-427F-8492-44D70A603C60}" name="date" dataDxfId="5"/>
    <tableColumn id="2" xr3:uid="{111AC6F9-D719-4853-AE46-455E7B7E3980}" name="lead_name" dataDxfId="4"/>
    <tableColumn id="3" xr3:uid="{AC5F4917-D938-4840-95C9-BC784EEE43A8}" name="business" dataDxfId="3"/>
    <tableColumn id="4" xr3:uid="{C6AA020A-650E-47D2-98C1-96B84DABD8A2}" name="area" dataDxfId="1"/>
    <tableColumn id="5" xr3:uid="{8AAD6FE2-D372-4E26-B154-C2EA05F16E89}" name="phone_or_link" dataDxfId="2"/>
    <tableColumn id="6" xr3:uid="{92214478-9143-41D0-A7F6-0A0EEFF94A4B}" name="channel" dataDxfId="7"/>
    <tableColumn id="7" xr3:uid="{2CCB497C-5FBD-4907-B118-5550DD52B5AE}" name="status" dataDxfId="6"/>
    <tableColumn id="8" xr3:uid="{19D6F510-873A-40FD-A69D-48D82349730A}" name="next_action"/>
    <tableColumn id="9" xr3:uid="{0E674FA6-49E5-4D1D-9E72-D2667CB38A5D}" name="next_date" dataDxfId="8"/>
    <tableColumn id="10" xr3:uid="{F8962D36-CD9A-4BE9-BA9B-65FEDC120C17}" name="notes"/>
    <tableColumn id="11" xr3:uid="{48FD6FC6-D13F-4BD4-9F32-4AC472EA38EC}" name="lead_i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0EE6-BD5F-488F-89FC-22AE537F9434}">
  <dimension ref="A1:K122"/>
  <sheetViews>
    <sheetView tabSelected="1" workbookViewId="0"/>
  </sheetViews>
  <sheetFormatPr defaultRowHeight="13.8" x14ac:dyDescent="0.25"/>
  <cols>
    <col min="1" max="1" width="10.09765625" style="2" bestFit="1" customWidth="1"/>
    <col min="2" max="3" width="67" style="5" bestFit="1" customWidth="1"/>
    <col min="4" max="4" width="9.1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8.19921875" bestFit="1" customWidth="1"/>
    <col min="11" max="11" width="9.19921875" bestFit="1" customWidth="1"/>
  </cols>
  <sheetData>
    <row r="1" spans="1:11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 s="3">
        <v>46086</v>
      </c>
      <c r="B2" s="5" t="s">
        <v>11</v>
      </c>
      <c r="C2" s="5" t="s">
        <v>11</v>
      </c>
      <c r="D2" s="5" t="s">
        <v>12</v>
      </c>
      <c r="E2" s="4" t="str">
        <f>"0097126411133"</f>
        <v>0097126411133</v>
      </c>
      <c r="F2" s="2" t="s">
        <v>13</v>
      </c>
      <c r="G2" s="2" t="s">
        <v>14</v>
      </c>
      <c r="H2" t="s">
        <v>15</v>
      </c>
      <c r="I2" s="1">
        <v>46086</v>
      </c>
      <c r="J2" t="s">
        <v>16</v>
      </c>
      <c r="K2" t="s">
        <v>17</v>
      </c>
    </row>
    <row r="3" spans="1:11" x14ac:dyDescent="0.25">
      <c r="A3" s="3">
        <v>46086</v>
      </c>
      <c r="B3" s="5" t="s">
        <v>18</v>
      </c>
      <c r="C3" s="5" t="s">
        <v>18</v>
      </c>
      <c r="D3" s="5" t="s">
        <v>12</v>
      </c>
      <c r="E3" s="4" t="str">
        <f>"0097126411884"</f>
        <v>0097126411884</v>
      </c>
      <c r="F3" s="2" t="s">
        <v>13</v>
      </c>
      <c r="G3" s="2" t="s">
        <v>14</v>
      </c>
      <c r="H3" t="s">
        <v>15</v>
      </c>
      <c r="I3" s="1">
        <v>46086</v>
      </c>
      <c r="J3" t="s">
        <v>19</v>
      </c>
      <c r="K3" t="s">
        <v>20</v>
      </c>
    </row>
    <row r="4" spans="1:11" x14ac:dyDescent="0.25">
      <c r="A4" s="3">
        <v>46086</v>
      </c>
      <c r="B4" s="5" t="s">
        <v>21</v>
      </c>
      <c r="C4" s="5" t="s">
        <v>21</v>
      </c>
      <c r="D4" s="5" t="s">
        <v>12</v>
      </c>
      <c r="E4" s="4" t="str">
        <f>"0097126506615"</f>
        <v>0097126506615</v>
      </c>
      <c r="F4" s="2" t="s">
        <v>13</v>
      </c>
      <c r="G4" s="2" t="s">
        <v>14</v>
      </c>
      <c r="H4" t="s">
        <v>15</v>
      </c>
      <c r="I4" s="1">
        <v>46086</v>
      </c>
      <c r="J4" t="s">
        <v>22</v>
      </c>
      <c r="K4" t="s">
        <v>23</v>
      </c>
    </row>
    <row r="5" spans="1:11" x14ac:dyDescent="0.25">
      <c r="A5" s="3">
        <v>46086</v>
      </c>
      <c r="B5" s="5" t="s">
        <v>24</v>
      </c>
      <c r="C5" s="5" t="s">
        <v>24</v>
      </c>
      <c r="D5" s="5" t="s">
        <v>12</v>
      </c>
      <c r="E5" s="4" t="str">
        <f>"0097126273465"</f>
        <v>0097126273465</v>
      </c>
      <c r="F5" s="2" t="s">
        <v>13</v>
      </c>
      <c r="G5" s="2" t="s">
        <v>14</v>
      </c>
      <c r="H5" t="s">
        <v>15</v>
      </c>
      <c r="I5" s="1">
        <v>46086</v>
      </c>
      <c r="J5" t="s">
        <v>25</v>
      </c>
      <c r="K5" t="s">
        <v>26</v>
      </c>
    </row>
    <row r="6" spans="1:11" x14ac:dyDescent="0.25">
      <c r="A6" s="3">
        <v>46086</v>
      </c>
      <c r="B6" s="5" t="s">
        <v>27</v>
      </c>
      <c r="C6" s="5" t="s">
        <v>27</v>
      </c>
      <c r="D6" s="5" t="s">
        <v>12</v>
      </c>
      <c r="E6" s="4" t="str">
        <f>"0097125961440"</f>
        <v>0097125961440</v>
      </c>
      <c r="F6" s="2" t="s">
        <v>13</v>
      </c>
      <c r="G6" s="2" t="s">
        <v>14</v>
      </c>
      <c r="H6" t="s">
        <v>15</v>
      </c>
      <c r="I6" s="1">
        <v>46086</v>
      </c>
      <c r="J6" t="s">
        <v>28</v>
      </c>
      <c r="K6" t="s">
        <v>29</v>
      </c>
    </row>
    <row r="7" spans="1:11" x14ac:dyDescent="0.25">
      <c r="A7" s="3">
        <v>46086</v>
      </c>
      <c r="B7" s="5" t="s">
        <v>30</v>
      </c>
      <c r="C7" s="5" t="s">
        <v>30</v>
      </c>
      <c r="D7" s="5" t="s">
        <v>12</v>
      </c>
      <c r="E7" s="4" t="str">
        <f>"00971502646604"</f>
        <v>00971502646604</v>
      </c>
      <c r="F7" s="2" t="s">
        <v>13</v>
      </c>
      <c r="G7" s="2" t="s">
        <v>14</v>
      </c>
      <c r="H7" t="s">
        <v>15</v>
      </c>
      <c r="I7" s="1">
        <v>46086</v>
      </c>
      <c r="J7" t="s">
        <v>31</v>
      </c>
      <c r="K7" t="s">
        <v>32</v>
      </c>
    </row>
    <row r="8" spans="1:11" x14ac:dyDescent="0.25">
      <c r="A8" s="3">
        <v>46086</v>
      </c>
      <c r="B8" s="5" t="s">
        <v>30</v>
      </c>
      <c r="C8" s="5" t="s">
        <v>30</v>
      </c>
      <c r="D8" s="5" t="s">
        <v>12</v>
      </c>
      <c r="E8" s="4" t="str">
        <f>"00971508188454"</f>
        <v>00971508188454</v>
      </c>
      <c r="F8" s="2" t="s">
        <v>13</v>
      </c>
      <c r="G8" s="2" t="s">
        <v>14</v>
      </c>
      <c r="H8" t="s">
        <v>15</v>
      </c>
      <c r="I8" s="1">
        <v>46086</v>
      </c>
      <c r="J8" t="s">
        <v>31</v>
      </c>
      <c r="K8" t="s">
        <v>33</v>
      </c>
    </row>
    <row r="9" spans="1:11" x14ac:dyDescent="0.25">
      <c r="A9" s="3">
        <v>46086</v>
      </c>
      <c r="B9" s="5" t="s">
        <v>34</v>
      </c>
      <c r="C9" s="5" t="s">
        <v>34</v>
      </c>
      <c r="D9" s="5" t="s">
        <v>12</v>
      </c>
      <c r="E9" s="4" t="str">
        <f>"0097126315528"</f>
        <v>0097126315528</v>
      </c>
      <c r="F9" s="2" t="s">
        <v>13</v>
      </c>
      <c r="G9" s="2" t="s">
        <v>14</v>
      </c>
      <c r="H9" t="s">
        <v>15</v>
      </c>
      <c r="I9" s="1">
        <v>46086</v>
      </c>
      <c r="J9" t="s">
        <v>35</v>
      </c>
      <c r="K9" t="s">
        <v>36</v>
      </c>
    </row>
    <row r="10" spans="1:11" x14ac:dyDescent="0.25">
      <c r="A10" s="3">
        <v>46086</v>
      </c>
      <c r="B10" s="5" t="s">
        <v>37</v>
      </c>
      <c r="C10" s="5" t="s">
        <v>37</v>
      </c>
      <c r="D10" s="5" t="s">
        <v>12</v>
      </c>
      <c r="E10" s="4" t="str">
        <f>"0097126777192"</f>
        <v>0097126777192</v>
      </c>
      <c r="F10" s="2" t="s">
        <v>13</v>
      </c>
      <c r="G10" s="2" t="s">
        <v>14</v>
      </c>
      <c r="H10" t="s">
        <v>15</v>
      </c>
      <c r="I10" s="1">
        <v>46086</v>
      </c>
      <c r="J10" t="s">
        <v>38</v>
      </c>
      <c r="K10" t="s">
        <v>39</v>
      </c>
    </row>
    <row r="11" spans="1:11" x14ac:dyDescent="0.25">
      <c r="A11" s="3">
        <v>46086</v>
      </c>
      <c r="B11" s="5" t="s">
        <v>40</v>
      </c>
      <c r="C11" s="5" t="s">
        <v>40</v>
      </c>
      <c r="D11" s="5" t="s">
        <v>12</v>
      </c>
      <c r="E11" s="4" t="str">
        <f>"0097125510260"</f>
        <v>0097125510260</v>
      </c>
      <c r="F11" s="2" t="s">
        <v>13</v>
      </c>
      <c r="G11" s="2" t="s">
        <v>14</v>
      </c>
      <c r="H11" t="s">
        <v>15</v>
      </c>
      <c r="I11" s="1">
        <v>46086</v>
      </c>
      <c r="J11" t="s">
        <v>41</v>
      </c>
      <c r="K11" t="s">
        <v>42</v>
      </c>
    </row>
    <row r="12" spans="1:11" x14ac:dyDescent="0.25">
      <c r="A12" s="3">
        <v>46086</v>
      </c>
      <c r="B12" s="5" t="s">
        <v>40</v>
      </c>
      <c r="C12" s="5" t="s">
        <v>40</v>
      </c>
      <c r="D12" s="5" t="s">
        <v>12</v>
      </c>
      <c r="E12" s="4" t="str">
        <f>"00971542886930"</f>
        <v>00971542886930</v>
      </c>
      <c r="F12" s="2" t="s">
        <v>13</v>
      </c>
      <c r="G12" s="2" t="s">
        <v>14</v>
      </c>
      <c r="H12" t="s">
        <v>15</v>
      </c>
      <c r="I12" s="1">
        <v>46086</v>
      </c>
      <c r="J12" t="s">
        <v>43</v>
      </c>
      <c r="K12" t="s">
        <v>44</v>
      </c>
    </row>
    <row r="13" spans="1:11" x14ac:dyDescent="0.25">
      <c r="A13" s="3">
        <v>46086</v>
      </c>
      <c r="B13" s="5" t="s">
        <v>45</v>
      </c>
      <c r="C13" s="5" t="s">
        <v>45</v>
      </c>
      <c r="D13" s="5" t="s">
        <v>12</v>
      </c>
      <c r="E13" s="4" t="str">
        <f>"00971506570565"</f>
        <v>00971506570565</v>
      </c>
      <c r="F13" s="2" t="s">
        <v>13</v>
      </c>
      <c r="G13" s="2" t="s">
        <v>14</v>
      </c>
      <c r="H13" t="s">
        <v>15</v>
      </c>
      <c r="I13" s="1">
        <v>46086</v>
      </c>
      <c r="J13" t="s">
        <v>46</v>
      </c>
      <c r="K13" t="s">
        <v>47</v>
      </c>
    </row>
    <row r="14" spans="1:11" x14ac:dyDescent="0.25">
      <c r="A14" s="3">
        <v>46086</v>
      </c>
      <c r="B14" s="5" t="s">
        <v>45</v>
      </c>
      <c r="C14" s="5" t="s">
        <v>45</v>
      </c>
      <c r="D14" s="5" t="s">
        <v>12</v>
      </c>
      <c r="E14" s="4" t="str">
        <f>"00971508278384"</f>
        <v>00971508278384</v>
      </c>
      <c r="F14" s="2" t="s">
        <v>13</v>
      </c>
      <c r="G14" s="2" t="s">
        <v>14</v>
      </c>
      <c r="H14" t="s">
        <v>15</v>
      </c>
      <c r="I14" s="1">
        <v>46086</v>
      </c>
      <c r="J14" t="s">
        <v>46</v>
      </c>
      <c r="K14" t="s">
        <v>48</v>
      </c>
    </row>
    <row r="15" spans="1:11" x14ac:dyDescent="0.25">
      <c r="A15" s="3">
        <v>46086</v>
      </c>
      <c r="B15" s="5" t="s">
        <v>49</v>
      </c>
      <c r="C15" s="5" t="s">
        <v>49</v>
      </c>
      <c r="D15" s="5" t="s">
        <v>12</v>
      </c>
      <c r="E15" s="4" t="str">
        <f>"0097125659882"</f>
        <v>0097125659882</v>
      </c>
      <c r="F15" s="2" t="s">
        <v>13</v>
      </c>
      <c r="G15" s="2" t="s">
        <v>14</v>
      </c>
      <c r="H15" t="s">
        <v>15</v>
      </c>
      <c r="I15" s="1">
        <v>46086</v>
      </c>
      <c r="J15" t="s">
        <v>50</v>
      </c>
      <c r="K15" t="s">
        <v>51</v>
      </c>
    </row>
    <row r="16" spans="1:11" x14ac:dyDescent="0.25">
      <c r="A16" s="3">
        <v>46086</v>
      </c>
      <c r="B16" s="5" t="s">
        <v>49</v>
      </c>
      <c r="C16" s="5" t="s">
        <v>49</v>
      </c>
      <c r="D16" s="5" t="s">
        <v>12</v>
      </c>
      <c r="E16" s="4" t="str">
        <f>"00971528662223"</f>
        <v>00971528662223</v>
      </c>
      <c r="F16" s="2" t="s">
        <v>13</v>
      </c>
      <c r="G16" s="2" t="s">
        <v>14</v>
      </c>
      <c r="H16" t="s">
        <v>15</v>
      </c>
      <c r="I16" s="1">
        <v>46086</v>
      </c>
      <c r="J16" t="s">
        <v>52</v>
      </c>
      <c r="K16" t="s">
        <v>53</v>
      </c>
    </row>
    <row r="17" spans="1:11" x14ac:dyDescent="0.25">
      <c r="A17" s="3">
        <v>46086</v>
      </c>
      <c r="B17" s="5" t="s">
        <v>54</v>
      </c>
      <c r="C17" s="5" t="s">
        <v>54</v>
      </c>
      <c r="D17" s="5" t="s">
        <v>12</v>
      </c>
      <c r="E17" s="4" t="str">
        <f>"0097124476301"</f>
        <v>0097124476301</v>
      </c>
      <c r="F17" s="2" t="s">
        <v>13</v>
      </c>
      <c r="G17" s="2" t="s">
        <v>14</v>
      </c>
      <c r="H17" t="s">
        <v>15</v>
      </c>
      <c r="I17" s="1">
        <v>46086</v>
      </c>
      <c r="J17" t="s">
        <v>55</v>
      </c>
      <c r="K17" t="s">
        <v>56</v>
      </c>
    </row>
    <row r="18" spans="1:11" x14ac:dyDescent="0.25">
      <c r="A18" s="3">
        <v>46086</v>
      </c>
      <c r="B18" s="5" t="s">
        <v>57</v>
      </c>
      <c r="C18" s="5" t="s">
        <v>57</v>
      </c>
      <c r="D18" s="5" t="s">
        <v>12</v>
      </c>
      <c r="E18" s="4" t="str">
        <f>"0097126215559"</f>
        <v>0097126215559</v>
      </c>
      <c r="F18" s="2" t="s">
        <v>13</v>
      </c>
      <c r="G18" s="2" t="s">
        <v>14</v>
      </c>
      <c r="H18" t="s">
        <v>15</v>
      </c>
      <c r="I18" s="1">
        <v>46086</v>
      </c>
      <c r="J18" t="s">
        <v>58</v>
      </c>
      <c r="K18" t="s">
        <v>59</v>
      </c>
    </row>
    <row r="19" spans="1:11" x14ac:dyDescent="0.25">
      <c r="A19" s="3">
        <v>46086</v>
      </c>
      <c r="B19" s="5" t="s">
        <v>60</v>
      </c>
      <c r="C19" s="5" t="s">
        <v>60</v>
      </c>
      <c r="D19" s="5" t="s">
        <v>12</v>
      </c>
      <c r="E19" s="4" t="str">
        <f>"0097126458000"</f>
        <v>0097126458000</v>
      </c>
      <c r="F19" s="2" t="s">
        <v>13</v>
      </c>
      <c r="G19" s="2" t="s">
        <v>14</v>
      </c>
      <c r="H19" t="s">
        <v>15</v>
      </c>
      <c r="I19" s="1">
        <v>46086</v>
      </c>
      <c r="J19" t="s">
        <v>61</v>
      </c>
      <c r="K19" t="s">
        <v>62</v>
      </c>
    </row>
    <row r="20" spans="1:11" x14ac:dyDescent="0.25">
      <c r="A20" s="3">
        <v>46086</v>
      </c>
      <c r="B20" s="5" t="s">
        <v>60</v>
      </c>
      <c r="C20" s="5" t="s">
        <v>60</v>
      </c>
      <c r="D20" s="5" t="s">
        <v>12</v>
      </c>
      <c r="E20" s="4" t="str">
        <f>"00971564014525"</f>
        <v>00971564014525</v>
      </c>
      <c r="F20" s="2" t="s">
        <v>13</v>
      </c>
      <c r="G20" s="2" t="s">
        <v>14</v>
      </c>
      <c r="H20" t="s">
        <v>15</v>
      </c>
      <c r="I20" s="1">
        <v>46086</v>
      </c>
      <c r="J20" t="s">
        <v>63</v>
      </c>
      <c r="K20" t="s">
        <v>64</v>
      </c>
    </row>
    <row r="21" spans="1:11" x14ac:dyDescent="0.25">
      <c r="A21" s="3">
        <v>46086</v>
      </c>
      <c r="B21" s="5" t="s">
        <v>60</v>
      </c>
      <c r="C21" s="5" t="s">
        <v>60</v>
      </c>
      <c r="D21" s="5" t="s">
        <v>12</v>
      </c>
      <c r="E21" s="4" t="str">
        <f>"00971564065176"</f>
        <v>00971564065176</v>
      </c>
      <c r="F21" s="2" t="s">
        <v>13</v>
      </c>
      <c r="G21" s="2" t="s">
        <v>14</v>
      </c>
      <c r="H21" t="s">
        <v>15</v>
      </c>
      <c r="I21" s="1">
        <v>46086</v>
      </c>
      <c r="J21" t="s">
        <v>63</v>
      </c>
      <c r="K21" t="s">
        <v>65</v>
      </c>
    </row>
    <row r="22" spans="1:11" x14ac:dyDescent="0.25">
      <c r="A22" s="3">
        <v>46086</v>
      </c>
      <c r="B22" s="5" t="s">
        <v>66</v>
      </c>
      <c r="C22" s="5" t="s">
        <v>66</v>
      </c>
      <c r="D22" s="5" t="s">
        <v>12</v>
      </c>
      <c r="E22" s="4" t="str">
        <f>"0097126815906"</f>
        <v>0097126815906</v>
      </c>
      <c r="F22" s="2" t="s">
        <v>13</v>
      </c>
      <c r="G22" s="2" t="s">
        <v>14</v>
      </c>
      <c r="H22" t="s">
        <v>15</v>
      </c>
      <c r="I22" s="1">
        <v>46086</v>
      </c>
      <c r="J22" t="s">
        <v>67</v>
      </c>
      <c r="K22" t="s">
        <v>68</v>
      </c>
    </row>
    <row r="23" spans="1:11" x14ac:dyDescent="0.25">
      <c r="A23" s="3">
        <v>46086</v>
      </c>
      <c r="B23" s="5" t="s">
        <v>69</v>
      </c>
      <c r="C23" s="5" t="s">
        <v>69</v>
      </c>
      <c r="D23" s="5" t="s">
        <v>12</v>
      </c>
      <c r="E23" s="4" t="str">
        <f>"0097125462298"</f>
        <v>0097125462298</v>
      </c>
      <c r="F23" s="2" t="s">
        <v>13</v>
      </c>
      <c r="G23" s="2" t="s">
        <v>14</v>
      </c>
      <c r="H23" t="s">
        <v>15</v>
      </c>
      <c r="I23" s="1">
        <v>46086</v>
      </c>
      <c r="J23" t="s">
        <v>70</v>
      </c>
      <c r="K23" t="s">
        <v>71</v>
      </c>
    </row>
    <row r="24" spans="1:11" x14ac:dyDescent="0.25">
      <c r="A24" s="3">
        <v>46086</v>
      </c>
      <c r="B24" s="5" t="s">
        <v>72</v>
      </c>
      <c r="C24" s="5" t="s">
        <v>72</v>
      </c>
      <c r="D24" s="5" t="s">
        <v>12</v>
      </c>
      <c r="E24" s="4" t="str">
        <f>"0097125462298"</f>
        <v>0097125462298</v>
      </c>
      <c r="F24" s="2" t="s">
        <v>13</v>
      </c>
      <c r="G24" s="2" t="s">
        <v>14</v>
      </c>
      <c r="H24" t="s">
        <v>15</v>
      </c>
      <c r="I24" s="1">
        <v>46086</v>
      </c>
      <c r="J24" t="s">
        <v>73</v>
      </c>
      <c r="K24" t="s">
        <v>74</v>
      </c>
    </row>
    <row r="25" spans="1:11" x14ac:dyDescent="0.25">
      <c r="A25" s="3">
        <v>46086</v>
      </c>
      <c r="B25" s="5" t="s">
        <v>72</v>
      </c>
      <c r="C25" s="5" t="s">
        <v>72</v>
      </c>
      <c r="D25" s="5" t="s">
        <v>12</v>
      </c>
      <c r="E25" s="4" t="str">
        <f>"00971529102069"</f>
        <v>00971529102069</v>
      </c>
      <c r="F25" s="2" t="s">
        <v>13</v>
      </c>
      <c r="G25" s="2" t="s">
        <v>14</v>
      </c>
      <c r="H25" t="s">
        <v>15</v>
      </c>
      <c r="I25" s="1">
        <v>46086</v>
      </c>
      <c r="J25" t="s">
        <v>75</v>
      </c>
      <c r="K25" t="s">
        <v>76</v>
      </c>
    </row>
    <row r="26" spans="1:11" x14ac:dyDescent="0.25">
      <c r="A26" s="3">
        <v>46086</v>
      </c>
      <c r="B26" s="5" t="s">
        <v>77</v>
      </c>
      <c r="C26" s="5" t="s">
        <v>77</v>
      </c>
      <c r="D26" s="5" t="s">
        <v>12</v>
      </c>
      <c r="E26" s="4" t="str">
        <f>"0097126419552"</f>
        <v>0097126419552</v>
      </c>
      <c r="F26" s="2" t="s">
        <v>13</v>
      </c>
      <c r="G26" s="2" t="s">
        <v>14</v>
      </c>
      <c r="H26" t="s">
        <v>15</v>
      </c>
      <c r="I26" s="1">
        <v>46086</v>
      </c>
      <c r="J26" t="s">
        <v>78</v>
      </c>
      <c r="K26" t="s">
        <v>79</v>
      </c>
    </row>
    <row r="27" spans="1:11" x14ac:dyDescent="0.25">
      <c r="A27" s="3">
        <v>46086</v>
      </c>
      <c r="B27" s="5" t="s">
        <v>80</v>
      </c>
      <c r="C27" s="5" t="s">
        <v>80</v>
      </c>
      <c r="D27" s="5" t="s">
        <v>12</v>
      </c>
      <c r="E27" s="4" t="str">
        <f>"0097124988008"</f>
        <v>0097124988008</v>
      </c>
      <c r="F27" s="2" t="s">
        <v>13</v>
      </c>
      <c r="G27" s="2" t="s">
        <v>14</v>
      </c>
      <c r="H27" t="s">
        <v>15</v>
      </c>
      <c r="I27" s="1">
        <v>46086</v>
      </c>
      <c r="J27" t="s">
        <v>81</v>
      </c>
      <c r="K27" t="s">
        <v>82</v>
      </c>
    </row>
    <row r="28" spans="1:11" x14ac:dyDescent="0.25">
      <c r="A28" s="3">
        <v>46086</v>
      </c>
      <c r="B28" s="5" t="s">
        <v>83</v>
      </c>
      <c r="C28" s="5" t="s">
        <v>83</v>
      </c>
      <c r="D28" s="5" t="s">
        <v>12</v>
      </c>
      <c r="E28" s="4" t="str">
        <f>"0097124988008"</f>
        <v>0097124988008</v>
      </c>
      <c r="F28" s="2" t="s">
        <v>13</v>
      </c>
      <c r="G28" s="2" t="s">
        <v>14</v>
      </c>
      <c r="H28" t="s">
        <v>15</v>
      </c>
      <c r="I28" s="1">
        <v>46086</v>
      </c>
      <c r="J28" t="s">
        <v>84</v>
      </c>
      <c r="K28" t="s">
        <v>85</v>
      </c>
    </row>
    <row r="29" spans="1:11" x14ac:dyDescent="0.25">
      <c r="A29" s="3">
        <v>46086</v>
      </c>
      <c r="B29" s="5" t="s">
        <v>86</v>
      </c>
      <c r="C29" s="5" t="s">
        <v>86</v>
      </c>
      <c r="D29" s="5" t="s">
        <v>12</v>
      </c>
      <c r="E29" s="4" t="str">
        <f>"0097126716611"</f>
        <v>0097126716611</v>
      </c>
      <c r="F29" s="2" t="s">
        <v>13</v>
      </c>
      <c r="G29" s="2" t="s">
        <v>14</v>
      </c>
      <c r="H29" t="s">
        <v>15</v>
      </c>
      <c r="I29" s="1">
        <v>46086</v>
      </c>
      <c r="J29" t="s">
        <v>87</v>
      </c>
      <c r="K29" t="s">
        <v>88</v>
      </c>
    </row>
    <row r="30" spans="1:11" x14ac:dyDescent="0.25">
      <c r="A30" s="3">
        <v>46086</v>
      </c>
      <c r="B30" s="5" t="s">
        <v>89</v>
      </c>
      <c r="C30" s="5" t="s">
        <v>89</v>
      </c>
      <c r="D30" s="5" t="s">
        <v>12</v>
      </c>
      <c r="E30" s="4" t="str">
        <f>"00971558921193"</f>
        <v>00971558921193</v>
      </c>
      <c r="F30" s="2" t="s">
        <v>13</v>
      </c>
      <c r="G30" s="2" t="s">
        <v>14</v>
      </c>
      <c r="H30" t="s">
        <v>15</v>
      </c>
      <c r="I30" s="1">
        <v>46086</v>
      </c>
      <c r="J30" t="s">
        <v>90</v>
      </c>
      <c r="K30" t="s">
        <v>91</v>
      </c>
    </row>
    <row r="31" spans="1:11" x14ac:dyDescent="0.25">
      <c r="A31" s="3">
        <v>46086</v>
      </c>
      <c r="B31" s="5" t="s">
        <v>92</v>
      </c>
      <c r="C31" s="5" t="s">
        <v>92</v>
      </c>
      <c r="D31" s="5" t="s">
        <v>12</v>
      </c>
      <c r="E31" s="4" t="str">
        <f>"0097126265610"</f>
        <v>0097126265610</v>
      </c>
      <c r="F31" s="2" t="s">
        <v>13</v>
      </c>
      <c r="G31" s="2" t="s">
        <v>14</v>
      </c>
      <c r="H31" t="s">
        <v>15</v>
      </c>
      <c r="I31" s="1">
        <v>46086</v>
      </c>
      <c r="J31" t="s">
        <v>93</v>
      </c>
      <c r="K31" t="s">
        <v>94</v>
      </c>
    </row>
    <row r="32" spans="1:11" x14ac:dyDescent="0.25">
      <c r="A32" s="3">
        <v>46086</v>
      </c>
      <c r="B32" s="5" t="s">
        <v>95</v>
      </c>
      <c r="C32" s="5" t="s">
        <v>95</v>
      </c>
      <c r="D32" s="5" t="s">
        <v>12</v>
      </c>
      <c r="E32" s="4" t="str">
        <f>"0097126344131"</f>
        <v>0097126344131</v>
      </c>
      <c r="F32" s="2" t="s">
        <v>13</v>
      </c>
      <c r="G32" s="2" t="s">
        <v>14</v>
      </c>
      <c r="H32" t="s">
        <v>15</v>
      </c>
      <c r="I32" s="1">
        <v>46086</v>
      </c>
      <c r="J32" t="s">
        <v>96</v>
      </c>
      <c r="K32" t="s">
        <v>97</v>
      </c>
    </row>
    <row r="33" spans="1:11" x14ac:dyDescent="0.25">
      <c r="A33" s="3">
        <v>46086</v>
      </c>
      <c r="B33" s="5" t="s">
        <v>98</v>
      </c>
      <c r="C33" s="5" t="s">
        <v>98</v>
      </c>
      <c r="D33" s="5" t="s">
        <v>12</v>
      </c>
      <c r="E33" s="4" t="str">
        <f>"0097125540851"</f>
        <v>0097125540851</v>
      </c>
      <c r="F33" s="2" t="s">
        <v>13</v>
      </c>
      <c r="G33" s="2" t="s">
        <v>14</v>
      </c>
      <c r="H33" t="s">
        <v>15</v>
      </c>
      <c r="I33" s="1">
        <v>46086</v>
      </c>
      <c r="J33" t="s">
        <v>99</v>
      </c>
      <c r="K33" t="s">
        <v>100</v>
      </c>
    </row>
    <row r="34" spans="1:11" x14ac:dyDescent="0.25">
      <c r="A34" s="3">
        <v>46086</v>
      </c>
      <c r="B34" s="5" t="s">
        <v>101</v>
      </c>
      <c r="C34" s="5" t="s">
        <v>101</v>
      </c>
      <c r="D34" s="5" t="s">
        <v>12</v>
      </c>
      <c r="E34" s="4" t="str">
        <f>"00971554753223"</f>
        <v>00971554753223</v>
      </c>
      <c r="F34" s="2" t="s">
        <v>13</v>
      </c>
      <c r="G34" s="2" t="s">
        <v>14</v>
      </c>
      <c r="H34" t="s">
        <v>15</v>
      </c>
      <c r="I34" s="1">
        <v>46086</v>
      </c>
      <c r="J34" t="s">
        <v>102</v>
      </c>
      <c r="K34" t="s">
        <v>103</v>
      </c>
    </row>
    <row r="35" spans="1:11" x14ac:dyDescent="0.25">
      <c r="A35" s="3">
        <v>46086</v>
      </c>
      <c r="B35" s="5" t="s">
        <v>101</v>
      </c>
      <c r="C35" s="5" t="s">
        <v>101</v>
      </c>
      <c r="D35" s="5" t="s">
        <v>12</v>
      </c>
      <c r="E35" s="4" t="str">
        <f>"00971556066521"</f>
        <v>00971556066521</v>
      </c>
      <c r="F35" s="2" t="s">
        <v>13</v>
      </c>
      <c r="G35" s="2" t="s">
        <v>14</v>
      </c>
      <c r="H35" t="s">
        <v>15</v>
      </c>
      <c r="I35" s="1">
        <v>46086</v>
      </c>
      <c r="J35" t="s">
        <v>102</v>
      </c>
      <c r="K35" t="s">
        <v>104</v>
      </c>
    </row>
    <row r="36" spans="1:11" x14ac:dyDescent="0.25">
      <c r="A36" s="3">
        <v>46086</v>
      </c>
      <c r="B36" s="5" t="s">
        <v>105</v>
      </c>
      <c r="C36" s="5" t="s">
        <v>105</v>
      </c>
      <c r="D36" s="5" t="s">
        <v>12</v>
      </c>
      <c r="E36" s="4" t="str">
        <f>"0097124445800"</f>
        <v>0097124445800</v>
      </c>
      <c r="F36" s="2" t="s">
        <v>13</v>
      </c>
      <c r="G36" s="2" t="s">
        <v>14</v>
      </c>
      <c r="H36" t="s">
        <v>15</v>
      </c>
      <c r="I36" s="1">
        <v>46086</v>
      </c>
      <c r="J36" t="s">
        <v>106</v>
      </c>
      <c r="K36" t="s">
        <v>107</v>
      </c>
    </row>
    <row r="37" spans="1:11" x14ac:dyDescent="0.25">
      <c r="A37" s="3">
        <v>46086</v>
      </c>
      <c r="B37" s="5" t="s">
        <v>108</v>
      </c>
      <c r="C37" s="5" t="s">
        <v>108</v>
      </c>
      <c r="D37" s="5" t="s">
        <v>12</v>
      </c>
      <c r="E37" s="4" t="str">
        <f>"0097126418637"</f>
        <v>0097126418637</v>
      </c>
      <c r="F37" s="2" t="s">
        <v>13</v>
      </c>
      <c r="G37" s="2" t="s">
        <v>14</v>
      </c>
      <c r="H37" t="s">
        <v>15</v>
      </c>
      <c r="I37" s="1">
        <v>46086</v>
      </c>
      <c r="J37" t="s">
        <v>109</v>
      </c>
      <c r="K37" t="s">
        <v>110</v>
      </c>
    </row>
    <row r="38" spans="1:11" x14ac:dyDescent="0.25">
      <c r="A38" s="3">
        <v>46086</v>
      </c>
      <c r="B38" s="5" t="s">
        <v>111</v>
      </c>
      <c r="C38" s="5" t="s">
        <v>111</v>
      </c>
      <c r="D38" s="5" t="s">
        <v>12</v>
      </c>
      <c r="E38" s="4" t="str">
        <f>"0097143306116"</f>
        <v>0097143306116</v>
      </c>
      <c r="F38" s="2" t="s">
        <v>13</v>
      </c>
      <c r="G38" s="2" t="s">
        <v>14</v>
      </c>
      <c r="H38" t="s">
        <v>15</v>
      </c>
      <c r="I38" s="1">
        <v>46086</v>
      </c>
      <c r="J38" t="s">
        <v>112</v>
      </c>
      <c r="K38" t="s">
        <v>113</v>
      </c>
    </row>
    <row r="39" spans="1:11" x14ac:dyDescent="0.25">
      <c r="A39" s="3">
        <v>46086</v>
      </c>
      <c r="B39" s="5" t="s">
        <v>114</v>
      </c>
      <c r="C39" s="5" t="s">
        <v>114</v>
      </c>
      <c r="D39" s="5" t="s">
        <v>12</v>
      </c>
      <c r="E39" s="4" t="str">
        <f>"0097125500917"</f>
        <v>0097125500917</v>
      </c>
      <c r="F39" s="2" t="s">
        <v>13</v>
      </c>
      <c r="G39" s="2" t="s">
        <v>14</v>
      </c>
      <c r="H39" t="s">
        <v>15</v>
      </c>
      <c r="I39" s="1">
        <v>46086</v>
      </c>
      <c r="J39" t="s">
        <v>115</v>
      </c>
      <c r="K39" t="s">
        <v>116</v>
      </c>
    </row>
    <row r="40" spans="1:11" x14ac:dyDescent="0.25">
      <c r="A40" s="3">
        <v>46086</v>
      </c>
      <c r="B40" s="5" t="s">
        <v>117</v>
      </c>
      <c r="C40" s="5" t="s">
        <v>117</v>
      </c>
      <c r="D40" s="5" t="s">
        <v>12</v>
      </c>
      <c r="E40" s="4" t="str">
        <f>"0097126777100"</f>
        <v>0097126777100</v>
      </c>
      <c r="F40" s="2" t="s">
        <v>13</v>
      </c>
      <c r="G40" s="2" t="s">
        <v>14</v>
      </c>
      <c r="H40" t="s">
        <v>15</v>
      </c>
      <c r="I40" s="1">
        <v>46086</v>
      </c>
      <c r="J40" t="s">
        <v>118</v>
      </c>
      <c r="K40" t="s">
        <v>119</v>
      </c>
    </row>
    <row r="41" spans="1:11" x14ac:dyDescent="0.25">
      <c r="A41" s="3">
        <v>46086</v>
      </c>
      <c r="B41" s="5" t="s">
        <v>120</v>
      </c>
      <c r="C41" s="5" t="s">
        <v>120</v>
      </c>
      <c r="D41" s="5" t="s">
        <v>12</v>
      </c>
      <c r="E41" s="4" t="str">
        <f>"0097126219929"</f>
        <v>0097126219929</v>
      </c>
      <c r="F41" s="2" t="s">
        <v>13</v>
      </c>
      <c r="G41" s="2" t="s">
        <v>14</v>
      </c>
      <c r="H41" t="s">
        <v>15</v>
      </c>
      <c r="I41" s="1">
        <v>46086</v>
      </c>
      <c r="J41" t="s">
        <v>121</v>
      </c>
      <c r="K41" t="s">
        <v>122</v>
      </c>
    </row>
    <row r="42" spans="1:11" x14ac:dyDescent="0.25">
      <c r="A42" s="3">
        <v>46086</v>
      </c>
      <c r="B42" s="5" t="s">
        <v>123</v>
      </c>
      <c r="C42" s="5" t="s">
        <v>123</v>
      </c>
      <c r="D42" s="5" t="s">
        <v>12</v>
      </c>
      <c r="E42" s="4" t="str">
        <f>"00971506155869"</f>
        <v>00971506155869</v>
      </c>
      <c r="F42" s="2" t="s">
        <v>13</v>
      </c>
      <c r="G42" s="2" t="s">
        <v>14</v>
      </c>
      <c r="H42" t="s">
        <v>15</v>
      </c>
      <c r="I42" s="1">
        <v>46086</v>
      </c>
      <c r="J42" t="s">
        <v>124</v>
      </c>
      <c r="K42" t="s">
        <v>125</v>
      </c>
    </row>
    <row r="43" spans="1:11" x14ac:dyDescent="0.25">
      <c r="A43" s="3">
        <v>46086</v>
      </c>
      <c r="B43" s="5" t="s">
        <v>126</v>
      </c>
      <c r="C43" s="5" t="s">
        <v>126</v>
      </c>
      <c r="D43" s="5" t="s">
        <v>12</v>
      </c>
      <c r="E43" s="4" t="str">
        <f>"0097125511662"</f>
        <v>0097125511662</v>
      </c>
      <c r="F43" s="2" t="s">
        <v>13</v>
      </c>
      <c r="G43" s="2" t="s">
        <v>14</v>
      </c>
      <c r="H43" t="s">
        <v>15</v>
      </c>
      <c r="I43" s="1">
        <v>46086</v>
      </c>
      <c r="J43" t="s">
        <v>127</v>
      </c>
      <c r="K43" t="s">
        <v>128</v>
      </c>
    </row>
    <row r="44" spans="1:11" x14ac:dyDescent="0.25">
      <c r="A44" s="3">
        <v>46086</v>
      </c>
      <c r="B44" s="5" t="s">
        <v>129</v>
      </c>
      <c r="C44" s="5" t="s">
        <v>129</v>
      </c>
      <c r="D44" s="5" t="s">
        <v>12</v>
      </c>
      <c r="E44" s="4" t="str">
        <f>"0097126720041"</f>
        <v>0097126720041</v>
      </c>
      <c r="F44" s="2" t="s">
        <v>13</v>
      </c>
      <c r="G44" s="2" t="s">
        <v>14</v>
      </c>
      <c r="H44" t="s">
        <v>15</v>
      </c>
      <c r="I44" s="1">
        <v>46086</v>
      </c>
      <c r="J44" t="s">
        <v>130</v>
      </c>
      <c r="K44" t="s">
        <v>131</v>
      </c>
    </row>
    <row r="45" spans="1:11" x14ac:dyDescent="0.25">
      <c r="A45" s="3">
        <v>46086</v>
      </c>
      <c r="B45" s="5" t="s">
        <v>132</v>
      </c>
      <c r="C45" s="5" t="s">
        <v>132</v>
      </c>
      <c r="D45" s="5" t="s">
        <v>12</v>
      </c>
      <c r="E45" s="4" t="str">
        <f>"0097124451724"</f>
        <v>0097124451724</v>
      </c>
      <c r="F45" s="2" t="s">
        <v>13</v>
      </c>
      <c r="G45" s="2" t="s">
        <v>14</v>
      </c>
      <c r="H45" t="s">
        <v>15</v>
      </c>
      <c r="I45" s="1">
        <v>46086</v>
      </c>
      <c r="J45" t="s">
        <v>133</v>
      </c>
      <c r="K45" t="s">
        <v>134</v>
      </c>
    </row>
    <row r="46" spans="1:11" x14ac:dyDescent="0.25">
      <c r="A46" s="3">
        <v>46086</v>
      </c>
      <c r="B46" s="5" t="s">
        <v>135</v>
      </c>
      <c r="C46" s="5" t="s">
        <v>135</v>
      </c>
      <c r="D46" s="5" t="s">
        <v>12</v>
      </c>
      <c r="E46" s="4" t="str">
        <f>"0097125525447"</f>
        <v>0097125525447</v>
      </c>
      <c r="F46" s="2" t="s">
        <v>13</v>
      </c>
      <c r="G46" s="2" t="s">
        <v>14</v>
      </c>
      <c r="H46" t="s">
        <v>15</v>
      </c>
      <c r="I46" s="1">
        <v>46086</v>
      </c>
      <c r="J46" t="s">
        <v>136</v>
      </c>
      <c r="K46" t="s">
        <v>137</v>
      </c>
    </row>
    <row r="47" spans="1:11" x14ac:dyDescent="0.25">
      <c r="A47" s="3">
        <v>46086</v>
      </c>
      <c r="B47" s="5" t="s">
        <v>135</v>
      </c>
      <c r="C47" s="5" t="s">
        <v>135</v>
      </c>
      <c r="D47" s="5" t="s">
        <v>12</v>
      </c>
      <c r="E47" s="4" t="str">
        <f>"00971509096003"</f>
        <v>00971509096003</v>
      </c>
      <c r="F47" s="2" t="s">
        <v>13</v>
      </c>
      <c r="G47" s="2" t="s">
        <v>14</v>
      </c>
      <c r="H47" t="s">
        <v>15</v>
      </c>
      <c r="I47" s="1">
        <v>46086</v>
      </c>
      <c r="J47" t="s">
        <v>138</v>
      </c>
      <c r="K47" t="s">
        <v>139</v>
      </c>
    </row>
    <row r="48" spans="1:11" x14ac:dyDescent="0.25">
      <c r="A48" s="3">
        <v>46086</v>
      </c>
      <c r="B48" s="5" t="s">
        <v>140</v>
      </c>
      <c r="C48" s="5" t="s">
        <v>140</v>
      </c>
      <c r="D48" s="5" t="s">
        <v>12</v>
      </c>
      <c r="E48" s="4" t="str">
        <f>"0097126723923"</f>
        <v>0097126723923</v>
      </c>
      <c r="F48" s="2" t="s">
        <v>13</v>
      </c>
      <c r="G48" s="2" t="s">
        <v>14</v>
      </c>
      <c r="H48" t="s">
        <v>15</v>
      </c>
      <c r="I48" s="1">
        <v>46086</v>
      </c>
      <c r="J48" t="s">
        <v>141</v>
      </c>
      <c r="K48" t="s">
        <v>142</v>
      </c>
    </row>
    <row r="49" spans="1:11" x14ac:dyDescent="0.25">
      <c r="A49" s="3">
        <v>46086</v>
      </c>
      <c r="B49" s="5" t="s">
        <v>143</v>
      </c>
      <c r="C49" s="5" t="s">
        <v>143</v>
      </c>
      <c r="D49" s="5" t="s">
        <v>12</v>
      </c>
      <c r="E49" s="4" t="str">
        <f>"0097126768333"</f>
        <v>0097126768333</v>
      </c>
      <c r="F49" s="2" t="s">
        <v>13</v>
      </c>
      <c r="G49" s="2" t="s">
        <v>14</v>
      </c>
      <c r="H49" t="s">
        <v>15</v>
      </c>
      <c r="I49" s="1">
        <v>46086</v>
      </c>
      <c r="J49" t="s">
        <v>144</v>
      </c>
      <c r="K49" t="s">
        <v>145</v>
      </c>
    </row>
    <row r="50" spans="1:11" x14ac:dyDescent="0.25">
      <c r="A50" s="3">
        <v>46086</v>
      </c>
      <c r="B50" s="5" t="s">
        <v>146</v>
      </c>
      <c r="C50" s="5" t="s">
        <v>146</v>
      </c>
      <c r="D50" s="5" t="s">
        <v>12</v>
      </c>
      <c r="E50" s="4" t="str">
        <f>"0097125175120"</f>
        <v>0097125175120</v>
      </c>
      <c r="F50" s="2" t="s">
        <v>13</v>
      </c>
      <c r="G50" s="2" t="s">
        <v>14</v>
      </c>
      <c r="H50" t="s">
        <v>15</v>
      </c>
      <c r="I50" s="1">
        <v>46086</v>
      </c>
      <c r="J50" t="s">
        <v>147</v>
      </c>
      <c r="K50" t="s">
        <v>148</v>
      </c>
    </row>
    <row r="51" spans="1:11" x14ac:dyDescent="0.25">
      <c r="A51" s="3">
        <v>46086</v>
      </c>
      <c r="B51" s="5" t="s">
        <v>146</v>
      </c>
      <c r="C51" s="5" t="s">
        <v>146</v>
      </c>
      <c r="D51" s="5" t="s">
        <v>12</v>
      </c>
      <c r="E51" s="4" t="str">
        <f>"00971555995576"</f>
        <v>00971555995576</v>
      </c>
      <c r="F51" s="2" t="s">
        <v>13</v>
      </c>
      <c r="G51" s="2" t="s">
        <v>14</v>
      </c>
      <c r="H51" t="s">
        <v>15</v>
      </c>
      <c r="I51" s="1">
        <v>46086</v>
      </c>
      <c r="J51" t="s">
        <v>149</v>
      </c>
      <c r="K51" t="s">
        <v>150</v>
      </c>
    </row>
    <row r="52" spans="1:11" x14ac:dyDescent="0.25">
      <c r="A52" s="3">
        <v>46086</v>
      </c>
      <c r="B52" s="5" t="s">
        <v>151</v>
      </c>
      <c r="C52" s="5" t="s">
        <v>151</v>
      </c>
      <c r="D52" s="5" t="s">
        <v>12</v>
      </c>
      <c r="E52" s="4" t="str">
        <f>"0097124489744"</f>
        <v>0097124489744</v>
      </c>
      <c r="F52" s="2" t="s">
        <v>13</v>
      </c>
      <c r="G52" s="2" t="s">
        <v>14</v>
      </c>
      <c r="H52" t="s">
        <v>15</v>
      </c>
      <c r="I52" s="1">
        <v>46086</v>
      </c>
      <c r="J52" t="s">
        <v>152</v>
      </c>
      <c r="K52" t="s">
        <v>153</v>
      </c>
    </row>
    <row r="53" spans="1:11" x14ac:dyDescent="0.25">
      <c r="A53" s="3">
        <v>46086</v>
      </c>
      <c r="B53" s="5" t="s">
        <v>154</v>
      </c>
      <c r="C53" s="5" t="s">
        <v>154</v>
      </c>
      <c r="D53" s="5" t="s">
        <v>12</v>
      </c>
      <c r="E53" s="4" t="str">
        <f>"00971563808834"</f>
        <v>00971563808834</v>
      </c>
      <c r="F53" s="2" t="s">
        <v>13</v>
      </c>
      <c r="G53" s="2" t="s">
        <v>14</v>
      </c>
      <c r="H53" t="s">
        <v>15</v>
      </c>
      <c r="I53" s="1">
        <v>46086</v>
      </c>
      <c r="J53" t="s">
        <v>155</v>
      </c>
      <c r="K53" t="s">
        <v>156</v>
      </c>
    </row>
    <row r="54" spans="1:11" x14ac:dyDescent="0.25">
      <c r="A54" s="3">
        <v>46086</v>
      </c>
      <c r="B54" s="5" t="s">
        <v>154</v>
      </c>
      <c r="C54" s="5" t="s">
        <v>154</v>
      </c>
      <c r="D54" s="5" t="s">
        <v>12</v>
      </c>
      <c r="E54" s="4" t="str">
        <f>"00971569420408"</f>
        <v>00971569420408</v>
      </c>
      <c r="F54" s="2" t="s">
        <v>13</v>
      </c>
      <c r="G54" s="2" t="s">
        <v>14</v>
      </c>
      <c r="H54" t="s">
        <v>15</v>
      </c>
      <c r="I54" s="1">
        <v>46086</v>
      </c>
      <c r="J54" t="s">
        <v>155</v>
      </c>
      <c r="K54" t="s">
        <v>157</v>
      </c>
    </row>
    <row r="55" spans="1:11" x14ac:dyDescent="0.25">
      <c r="A55" s="3">
        <v>46086</v>
      </c>
      <c r="B55" s="5" t="s">
        <v>158</v>
      </c>
      <c r="C55" s="5" t="s">
        <v>158</v>
      </c>
      <c r="D55" s="5" t="s">
        <v>12</v>
      </c>
      <c r="E55" s="4" t="str">
        <f>"0097126507333"</f>
        <v>0097126507333</v>
      </c>
      <c r="F55" s="2" t="s">
        <v>13</v>
      </c>
      <c r="G55" s="2" t="s">
        <v>14</v>
      </c>
      <c r="H55" t="s">
        <v>15</v>
      </c>
      <c r="I55" s="1">
        <v>46086</v>
      </c>
      <c r="J55" t="s">
        <v>159</v>
      </c>
      <c r="K55" t="s">
        <v>160</v>
      </c>
    </row>
    <row r="56" spans="1:11" x14ac:dyDescent="0.25">
      <c r="A56" s="3">
        <v>46086</v>
      </c>
      <c r="B56" s="5" t="s">
        <v>161</v>
      </c>
      <c r="C56" s="5" t="s">
        <v>161</v>
      </c>
      <c r="D56" s="5" t="s">
        <v>12</v>
      </c>
      <c r="E56" s="4" t="str">
        <f>"0097125512236"</f>
        <v>0097125512236</v>
      </c>
      <c r="F56" s="2" t="s">
        <v>13</v>
      </c>
      <c r="G56" s="2" t="s">
        <v>14</v>
      </c>
      <c r="H56" t="s">
        <v>15</v>
      </c>
      <c r="I56" s="1">
        <v>46086</v>
      </c>
      <c r="J56" t="s">
        <v>162</v>
      </c>
      <c r="K56" t="s">
        <v>163</v>
      </c>
    </row>
    <row r="57" spans="1:11" x14ac:dyDescent="0.25">
      <c r="A57" s="3">
        <v>46086</v>
      </c>
      <c r="B57" s="5" t="s">
        <v>161</v>
      </c>
      <c r="C57" s="5" t="s">
        <v>161</v>
      </c>
      <c r="D57" s="5" t="s">
        <v>12</v>
      </c>
      <c r="E57" s="4" t="str">
        <f>"00971507914947"</f>
        <v>00971507914947</v>
      </c>
      <c r="F57" s="2" t="s">
        <v>13</v>
      </c>
      <c r="G57" s="2" t="s">
        <v>14</v>
      </c>
      <c r="H57" t="s">
        <v>15</v>
      </c>
      <c r="I57" s="1">
        <v>46086</v>
      </c>
      <c r="J57" t="s">
        <v>164</v>
      </c>
      <c r="K57" t="s">
        <v>165</v>
      </c>
    </row>
    <row r="58" spans="1:11" x14ac:dyDescent="0.25">
      <c r="A58" s="3">
        <v>46086</v>
      </c>
      <c r="B58" s="5" t="s">
        <v>166</v>
      </c>
      <c r="C58" s="5" t="s">
        <v>166</v>
      </c>
      <c r="D58" s="5" t="s">
        <v>12</v>
      </c>
      <c r="E58" s="4" t="str">
        <f>"0097126771162"</f>
        <v>0097126771162</v>
      </c>
      <c r="F58" s="2" t="s">
        <v>13</v>
      </c>
      <c r="G58" s="2" t="s">
        <v>14</v>
      </c>
      <c r="H58" t="s">
        <v>15</v>
      </c>
      <c r="I58" s="1">
        <v>46086</v>
      </c>
      <c r="J58" t="s">
        <v>167</v>
      </c>
      <c r="K58" t="s">
        <v>168</v>
      </c>
    </row>
    <row r="59" spans="1:11" x14ac:dyDescent="0.25">
      <c r="A59" s="3">
        <v>46086</v>
      </c>
      <c r="B59" s="5" t="s">
        <v>169</v>
      </c>
      <c r="C59" s="5" t="s">
        <v>169</v>
      </c>
      <c r="D59" s="5" t="s">
        <v>12</v>
      </c>
      <c r="E59" s="4" t="str">
        <f>"0097126729855"</f>
        <v>0097126729855</v>
      </c>
      <c r="F59" s="2" t="s">
        <v>13</v>
      </c>
      <c r="G59" s="2" t="s">
        <v>14</v>
      </c>
      <c r="H59" t="s">
        <v>15</v>
      </c>
      <c r="I59" s="1">
        <v>46086</v>
      </c>
      <c r="J59" t="s">
        <v>170</v>
      </c>
      <c r="K59" t="s">
        <v>171</v>
      </c>
    </row>
    <row r="60" spans="1:11" x14ac:dyDescent="0.25">
      <c r="A60" s="3">
        <v>46086</v>
      </c>
      <c r="B60" s="5" t="s">
        <v>172</v>
      </c>
      <c r="C60" s="5" t="s">
        <v>172</v>
      </c>
      <c r="D60" s="5" t="s">
        <v>12</v>
      </c>
      <c r="E60" s="4" t="str">
        <f>"0097126667740"</f>
        <v>0097126667740</v>
      </c>
      <c r="F60" s="2" t="s">
        <v>13</v>
      </c>
      <c r="G60" s="2" t="s">
        <v>14</v>
      </c>
      <c r="H60" t="s">
        <v>15</v>
      </c>
      <c r="I60" s="1">
        <v>46086</v>
      </c>
      <c r="J60" t="s">
        <v>173</v>
      </c>
      <c r="K60" t="s">
        <v>174</v>
      </c>
    </row>
    <row r="61" spans="1:11" x14ac:dyDescent="0.25">
      <c r="A61" s="3">
        <v>46086</v>
      </c>
      <c r="B61" s="5" t="s">
        <v>175</v>
      </c>
      <c r="C61" s="5" t="s">
        <v>175</v>
      </c>
      <c r="D61" s="5" t="s">
        <v>12</v>
      </c>
      <c r="E61" s="4" t="str">
        <f>"00971529524943"</f>
        <v>00971529524943</v>
      </c>
      <c r="F61" s="2" t="s">
        <v>13</v>
      </c>
      <c r="G61" s="2" t="s">
        <v>14</v>
      </c>
      <c r="H61" t="s">
        <v>15</v>
      </c>
      <c r="I61" s="1">
        <v>46086</v>
      </c>
      <c r="J61" t="s">
        <v>176</v>
      </c>
      <c r="K61" t="s">
        <v>177</v>
      </c>
    </row>
    <row r="62" spans="1:11" x14ac:dyDescent="0.25">
      <c r="A62" s="3">
        <v>46086</v>
      </c>
      <c r="B62" s="5" t="s">
        <v>175</v>
      </c>
      <c r="C62" s="5" t="s">
        <v>175</v>
      </c>
      <c r="D62" s="5" t="s">
        <v>12</v>
      </c>
      <c r="E62" s="4" t="str">
        <f>"00971555260637"</f>
        <v>00971555260637</v>
      </c>
      <c r="F62" s="2" t="s">
        <v>13</v>
      </c>
      <c r="G62" s="2" t="s">
        <v>14</v>
      </c>
      <c r="H62" t="s">
        <v>15</v>
      </c>
      <c r="I62" s="1">
        <v>46086</v>
      </c>
      <c r="J62" t="s">
        <v>176</v>
      </c>
      <c r="K62" t="s">
        <v>178</v>
      </c>
    </row>
    <row r="63" spans="1:11" x14ac:dyDescent="0.25">
      <c r="A63" s="3">
        <v>46086</v>
      </c>
      <c r="B63" s="5" t="s">
        <v>179</v>
      </c>
      <c r="C63" s="5" t="s">
        <v>179</v>
      </c>
      <c r="D63" s="5" t="s">
        <v>12</v>
      </c>
      <c r="E63" s="4" t="str">
        <f>"0097124494875"</f>
        <v>0097124494875</v>
      </c>
      <c r="F63" s="2" t="s">
        <v>13</v>
      </c>
      <c r="G63" s="2" t="s">
        <v>14</v>
      </c>
      <c r="H63" t="s">
        <v>15</v>
      </c>
      <c r="I63" s="1">
        <v>46086</v>
      </c>
      <c r="J63" t="s">
        <v>180</v>
      </c>
      <c r="K63" t="s">
        <v>181</v>
      </c>
    </row>
    <row r="64" spans="1:11" x14ac:dyDescent="0.25">
      <c r="A64" s="3">
        <v>46086</v>
      </c>
      <c r="B64" s="5" t="s">
        <v>179</v>
      </c>
      <c r="C64" s="5" t="s">
        <v>179</v>
      </c>
      <c r="D64" s="5" t="s">
        <v>12</v>
      </c>
      <c r="E64" s="4" t="str">
        <f>"00971501215342"</f>
        <v>00971501215342</v>
      </c>
      <c r="F64" s="2" t="s">
        <v>13</v>
      </c>
      <c r="G64" s="2" t="s">
        <v>14</v>
      </c>
      <c r="H64" t="s">
        <v>15</v>
      </c>
      <c r="I64" s="1">
        <v>46086</v>
      </c>
      <c r="J64" t="s">
        <v>182</v>
      </c>
      <c r="K64" t="s">
        <v>183</v>
      </c>
    </row>
    <row r="65" spans="1:11" x14ac:dyDescent="0.25">
      <c r="A65" s="3">
        <v>46086</v>
      </c>
      <c r="B65" s="5" t="s">
        <v>184</v>
      </c>
      <c r="C65" s="5" t="s">
        <v>184</v>
      </c>
      <c r="D65" s="5" t="s">
        <v>12</v>
      </c>
      <c r="E65" s="4" t="str">
        <f>"00971503317380"</f>
        <v>00971503317380</v>
      </c>
      <c r="F65" s="2" t="s">
        <v>13</v>
      </c>
      <c r="G65" s="2" t="s">
        <v>14</v>
      </c>
      <c r="H65" t="s">
        <v>15</v>
      </c>
      <c r="I65" s="1">
        <v>46086</v>
      </c>
      <c r="J65" t="s">
        <v>185</v>
      </c>
      <c r="K65" t="s">
        <v>186</v>
      </c>
    </row>
    <row r="66" spans="1:11" x14ac:dyDescent="0.25">
      <c r="A66" s="3">
        <v>46086</v>
      </c>
      <c r="B66" s="5" t="s">
        <v>187</v>
      </c>
      <c r="C66" s="5" t="s">
        <v>187</v>
      </c>
      <c r="D66" s="5" t="s">
        <v>12</v>
      </c>
      <c r="E66" s="4" t="str">
        <f>"0097126343484"</f>
        <v>0097126343484</v>
      </c>
      <c r="F66" s="2" t="s">
        <v>13</v>
      </c>
      <c r="G66" s="2" t="s">
        <v>14</v>
      </c>
      <c r="H66" t="s">
        <v>15</v>
      </c>
      <c r="I66" s="1">
        <v>46086</v>
      </c>
      <c r="J66" t="s">
        <v>188</v>
      </c>
      <c r="K66" t="s">
        <v>189</v>
      </c>
    </row>
    <row r="67" spans="1:11" x14ac:dyDescent="0.25">
      <c r="A67" s="3">
        <v>46086</v>
      </c>
      <c r="B67" s="5" t="s">
        <v>187</v>
      </c>
      <c r="C67" s="5" t="s">
        <v>187</v>
      </c>
      <c r="D67" s="5" t="s">
        <v>12</v>
      </c>
      <c r="E67" s="4" t="str">
        <f>"00971506168641"</f>
        <v>00971506168641</v>
      </c>
      <c r="F67" s="2" t="s">
        <v>13</v>
      </c>
      <c r="G67" s="2" t="s">
        <v>14</v>
      </c>
      <c r="H67" t="s">
        <v>15</v>
      </c>
      <c r="I67" s="1">
        <v>46086</v>
      </c>
      <c r="J67" t="s">
        <v>190</v>
      </c>
      <c r="K67" t="s">
        <v>191</v>
      </c>
    </row>
    <row r="68" spans="1:11" x14ac:dyDescent="0.25">
      <c r="A68" s="3">
        <v>46086</v>
      </c>
      <c r="B68" s="5" t="s">
        <v>192</v>
      </c>
      <c r="C68" s="5" t="s">
        <v>192</v>
      </c>
      <c r="D68" s="5" t="s">
        <v>12</v>
      </c>
      <c r="E68" s="4" t="str">
        <f>"0097122222233"</f>
        <v>0097122222233</v>
      </c>
      <c r="F68" s="2" t="s">
        <v>13</v>
      </c>
      <c r="G68" s="2" t="s">
        <v>14</v>
      </c>
      <c r="H68" t="s">
        <v>15</v>
      </c>
      <c r="I68" s="1">
        <v>46086</v>
      </c>
      <c r="J68" t="s">
        <v>193</v>
      </c>
      <c r="K68" t="s">
        <v>194</v>
      </c>
    </row>
    <row r="69" spans="1:11" x14ac:dyDescent="0.25">
      <c r="A69" s="3">
        <v>46086</v>
      </c>
      <c r="B69" s="5" t="s">
        <v>195</v>
      </c>
      <c r="C69" s="5" t="s">
        <v>195</v>
      </c>
      <c r="D69" s="5" t="s">
        <v>12</v>
      </c>
      <c r="E69" s="4" t="str">
        <f>"0097143397688"</f>
        <v>0097143397688</v>
      </c>
      <c r="F69" s="2" t="s">
        <v>13</v>
      </c>
      <c r="G69" s="2" t="s">
        <v>14</v>
      </c>
      <c r="H69" t="s">
        <v>15</v>
      </c>
      <c r="I69" s="1">
        <v>46086</v>
      </c>
      <c r="J69" t="s">
        <v>196</v>
      </c>
      <c r="K69" t="s">
        <v>197</v>
      </c>
    </row>
    <row r="70" spans="1:11" x14ac:dyDescent="0.25">
      <c r="A70" s="3">
        <v>46086</v>
      </c>
      <c r="B70" s="5" t="s">
        <v>198</v>
      </c>
      <c r="C70" s="5" t="s">
        <v>198</v>
      </c>
      <c r="D70" s="5" t="s">
        <v>12</v>
      </c>
      <c r="E70" s="4" t="str">
        <f>"0097126331555"</f>
        <v>0097126331555</v>
      </c>
      <c r="F70" s="2" t="s">
        <v>13</v>
      </c>
      <c r="G70" s="2" t="s">
        <v>14</v>
      </c>
      <c r="H70" t="s">
        <v>15</v>
      </c>
      <c r="I70" s="1">
        <v>46086</v>
      </c>
      <c r="J70" t="s">
        <v>199</v>
      </c>
      <c r="K70" t="s">
        <v>200</v>
      </c>
    </row>
    <row r="71" spans="1:11" x14ac:dyDescent="0.25">
      <c r="A71" s="3">
        <v>46086</v>
      </c>
      <c r="B71" s="5" t="s">
        <v>201</v>
      </c>
      <c r="C71" s="5" t="s">
        <v>201</v>
      </c>
      <c r="D71" s="5" t="s">
        <v>12</v>
      </c>
      <c r="E71" s="4" t="str">
        <f>"0097126218072"</f>
        <v>0097126218072</v>
      </c>
      <c r="F71" s="2" t="s">
        <v>13</v>
      </c>
      <c r="G71" s="2" t="s">
        <v>14</v>
      </c>
      <c r="H71" t="s">
        <v>15</v>
      </c>
      <c r="I71" s="1">
        <v>46086</v>
      </c>
      <c r="J71" t="s">
        <v>202</v>
      </c>
      <c r="K71" t="s">
        <v>203</v>
      </c>
    </row>
    <row r="72" spans="1:11" x14ac:dyDescent="0.25">
      <c r="A72" s="3">
        <v>46086</v>
      </c>
      <c r="B72" s="5" t="s">
        <v>204</v>
      </c>
      <c r="C72" s="5" t="s">
        <v>204</v>
      </c>
      <c r="D72" s="5" t="s">
        <v>12</v>
      </c>
      <c r="E72" s="4" t="str">
        <f>"0097124452444"</f>
        <v>0097124452444</v>
      </c>
      <c r="F72" s="2" t="s">
        <v>13</v>
      </c>
      <c r="G72" s="2" t="s">
        <v>14</v>
      </c>
      <c r="H72" t="s">
        <v>15</v>
      </c>
      <c r="I72" s="1">
        <v>46086</v>
      </c>
      <c r="J72" t="s">
        <v>205</v>
      </c>
      <c r="K72" t="s">
        <v>206</v>
      </c>
    </row>
    <row r="73" spans="1:11" x14ac:dyDescent="0.25">
      <c r="A73" s="3">
        <v>46086</v>
      </c>
      <c r="B73" s="5" t="s">
        <v>207</v>
      </c>
      <c r="C73" s="5" t="s">
        <v>207</v>
      </c>
      <c r="D73" s="5" t="s">
        <v>12</v>
      </c>
      <c r="E73" s="4" t="str">
        <f>"0097126760080"</f>
        <v>0097126760080</v>
      </c>
      <c r="F73" s="2" t="s">
        <v>13</v>
      </c>
      <c r="G73" s="2" t="s">
        <v>14</v>
      </c>
      <c r="H73" t="s">
        <v>15</v>
      </c>
      <c r="I73" s="1">
        <v>46086</v>
      </c>
      <c r="J73" t="s">
        <v>208</v>
      </c>
      <c r="K73" t="s">
        <v>209</v>
      </c>
    </row>
    <row r="74" spans="1:11" x14ac:dyDescent="0.25">
      <c r="A74" s="3">
        <v>46086</v>
      </c>
      <c r="B74" s="5" t="s">
        <v>210</v>
      </c>
      <c r="C74" s="5" t="s">
        <v>210</v>
      </c>
      <c r="D74" s="5" t="s">
        <v>12</v>
      </c>
      <c r="E74" s="4" t="str">
        <f>"00971544067267"</f>
        <v>00971544067267</v>
      </c>
      <c r="F74" s="2" t="s">
        <v>13</v>
      </c>
      <c r="G74" s="2" t="s">
        <v>14</v>
      </c>
      <c r="H74" t="s">
        <v>15</v>
      </c>
      <c r="I74" s="1">
        <v>46086</v>
      </c>
      <c r="J74" t="s">
        <v>211</v>
      </c>
      <c r="K74" t="s">
        <v>212</v>
      </c>
    </row>
    <row r="75" spans="1:11" x14ac:dyDescent="0.25">
      <c r="A75" s="3">
        <v>46086</v>
      </c>
      <c r="B75" s="5" t="s">
        <v>213</v>
      </c>
      <c r="C75" s="5" t="s">
        <v>213</v>
      </c>
      <c r="D75" s="5" t="s">
        <v>12</v>
      </c>
      <c r="E75" s="4" t="str">
        <f>"0097126655454"</f>
        <v>0097126655454</v>
      </c>
      <c r="F75" s="2" t="s">
        <v>13</v>
      </c>
      <c r="G75" s="2" t="s">
        <v>14</v>
      </c>
      <c r="H75" t="s">
        <v>15</v>
      </c>
      <c r="I75" s="1">
        <v>46086</v>
      </c>
      <c r="J75" t="s">
        <v>214</v>
      </c>
      <c r="K75" t="s">
        <v>215</v>
      </c>
    </row>
    <row r="76" spans="1:11" x14ac:dyDescent="0.25">
      <c r="A76" s="3">
        <v>46086</v>
      </c>
      <c r="B76" s="5" t="s">
        <v>213</v>
      </c>
      <c r="C76" s="5" t="s">
        <v>213</v>
      </c>
      <c r="D76" s="5" t="s">
        <v>12</v>
      </c>
      <c r="E76" s="4" t="str">
        <f>"00971506501359"</f>
        <v>00971506501359</v>
      </c>
      <c r="F76" s="2" t="s">
        <v>13</v>
      </c>
      <c r="G76" s="2" t="s">
        <v>14</v>
      </c>
      <c r="H76" t="s">
        <v>15</v>
      </c>
      <c r="I76" s="1">
        <v>46086</v>
      </c>
      <c r="J76" t="s">
        <v>216</v>
      </c>
      <c r="K76" t="s">
        <v>217</v>
      </c>
    </row>
    <row r="77" spans="1:11" x14ac:dyDescent="0.25">
      <c r="A77" s="3">
        <v>46086</v>
      </c>
      <c r="B77" s="5" t="s">
        <v>218</v>
      </c>
      <c r="C77" s="5" t="s">
        <v>218</v>
      </c>
      <c r="D77" s="5" t="s">
        <v>12</v>
      </c>
      <c r="E77" s="4" t="str">
        <f>"0097125502205"</f>
        <v>0097125502205</v>
      </c>
      <c r="F77" s="2" t="s">
        <v>13</v>
      </c>
      <c r="G77" s="2" t="s">
        <v>14</v>
      </c>
      <c r="H77" t="s">
        <v>15</v>
      </c>
      <c r="I77" s="1">
        <v>46086</v>
      </c>
      <c r="J77" t="s">
        <v>219</v>
      </c>
      <c r="K77" t="s">
        <v>220</v>
      </c>
    </row>
    <row r="78" spans="1:11" x14ac:dyDescent="0.25">
      <c r="A78" s="3">
        <v>46086</v>
      </c>
      <c r="B78" s="5" t="s">
        <v>221</v>
      </c>
      <c r="C78" s="5" t="s">
        <v>221</v>
      </c>
      <c r="D78" s="5" t="s">
        <v>12</v>
      </c>
      <c r="E78" s="4" t="str">
        <f>"0097125557963"</f>
        <v>0097125557963</v>
      </c>
      <c r="F78" s="2" t="s">
        <v>13</v>
      </c>
      <c r="G78" s="2" t="s">
        <v>14</v>
      </c>
      <c r="H78" t="s">
        <v>15</v>
      </c>
      <c r="I78" s="1">
        <v>46086</v>
      </c>
      <c r="J78" t="s">
        <v>222</v>
      </c>
      <c r="K78" t="s">
        <v>223</v>
      </c>
    </row>
    <row r="79" spans="1:11" x14ac:dyDescent="0.25">
      <c r="A79" s="3">
        <v>46086</v>
      </c>
      <c r="B79" s="5" t="s">
        <v>224</v>
      </c>
      <c r="C79" s="5" t="s">
        <v>224</v>
      </c>
      <c r="D79" s="5" t="s">
        <v>12</v>
      </c>
      <c r="E79" s="4" t="str">
        <f>"0097126338008"</f>
        <v>0097126338008</v>
      </c>
      <c r="F79" s="2" t="s">
        <v>13</v>
      </c>
      <c r="G79" s="2" t="s">
        <v>14</v>
      </c>
      <c r="H79" t="s">
        <v>15</v>
      </c>
      <c r="I79" s="1">
        <v>46086</v>
      </c>
      <c r="J79" t="s">
        <v>225</v>
      </c>
      <c r="K79" t="s">
        <v>226</v>
      </c>
    </row>
    <row r="80" spans="1:11" x14ac:dyDescent="0.25">
      <c r="A80" s="3">
        <v>46086</v>
      </c>
      <c r="B80" s="5" t="s">
        <v>227</v>
      </c>
      <c r="C80" s="5" t="s">
        <v>227</v>
      </c>
      <c r="D80" s="5" t="s">
        <v>12</v>
      </c>
      <c r="E80" s="4" t="str">
        <f>"0097124990111"</f>
        <v>0097124990111</v>
      </c>
      <c r="F80" s="2" t="s">
        <v>13</v>
      </c>
      <c r="G80" s="2" t="s">
        <v>14</v>
      </c>
      <c r="H80" t="s">
        <v>15</v>
      </c>
      <c r="I80" s="1">
        <v>46086</v>
      </c>
      <c r="J80" t="s">
        <v>228</v>
      </c>
      <c r="K80" t="s">
        <v>229</v>
      </c>
    </row>
    <row r="81" spans="1:11" x14ac:dyDescent="0.25">
      <c r="A81" s="3">
        <v>46086</v>
      </c>
      <c r="B81" s="5" t="s">
        <v>230</v>
      </c>
      <c r="C81" s="5" t="s">
        <v>230</v>
      </c>
      <c r="D81" s="5" t="s">
        <v>12</v>
      </c>
      <c r="E81" s="4" t="str">
        <f>"0097126813300"</f>
        <v>0097126813300</v>
      </c>
      <c r="F81" s="2" t="s">
        <v>13</v>
      </c>
      <c r="G81" s="2" t="s">
        <v>14</v>
      </c>
      <c r="H81" t="s">
        <v>15</v>
      </c>
      <c r="I81" s="1">
        <v>46086</v>
      </c>
      <c r="J81" t="s">
        <v>231</v>
      </c>
      <c r="K81" t="s">
        <v>232</v>
      </c>
    </row>
    <row r="82" spans="1:11" x14ac:dyDescent="0.25">
      <c r="A82" s="3">
        <v>46086</v>
      </c>
      <c r="B82" s="5" t="s">
        <v>233</v>
      </c>
      <c r="C82" s="5" t="s">
        <v>233</v>
      </c>
      <c r="D82" s="5" t="s">
        <v>12</v>
      </c>
      <c r="E82" s="4" t="str">
        <f>"0097126775550"</f>
        <v>0097126775550</v>
      </c>
      <c r="F82" s="2" t="s">
        <v>13</v>
      </c>
      <c r="G82" s="2" t="s">
        <v>14</v>
      </c>
      <c r="H82" t="s">
        <v>15</v>
      </c>
      <c r="I82" s="1">
        <v>46086</v>
      </c>
      <c r="J82" t="s">
        <v>234</v>
      </c>
      <c r="K82" t="s">
        <v>235</v>
      </c>
    </row>
    <row r="83" spans="1:11" x14ac:dyDescent="0.25">
      <c r="A83" s="3">
        <v>46086</v>
      </c>
      <c r="B83" s="5" t="s">
        <v>236</v>
      </c>
      <c r="C83" s="5" t="s">
        <v>236</v>
      </c>
      <c r="D83" s="5" t="s">
        <v>12</v>
      </c>
      <c r="E83" s="4" t="str">
        <f>"0097126661120"</f>
        <v>0097126661120</v>
      </c>
      <c r="F83" s="2" t="s">
        <v>13</v>
      </c>
      <c r="G83" s="2" t="s">
        <v>14</v>
      </c>
      <c r="H83" t="s">
        <v>15</v>
      </c>
      <c r="I83" s="1">
        <v>46086</v>
      </c>
      <c r="J83" t="s">
        <v>237</v>
      </c>
      <c r="K83" t="s">
        <v>238</v>
      </c>
    </row>
    <row r="84" spans="1:11" x14ac:dyDescent="0.25">
      <c r="A84" s="3">
        <v>46086</v>
      </c>
      <c r="B84" s="5" t="s">
        <v>239</v>
      </c>
      <c r="C84" s="5" t="s">
        <v>239</v>
      </c>
      <c r="D84" s="5" t="s">
        <v>12</v>
      </c>
      <c r="E84" s="4" t="str">
        <f>"0097126448181"</f>
        <v>0097126448181</v>
      </c>
      <c r="F84" s="2" t="s">
        <v>13</v>
      </c>
      <c r="G84" s="2" t="s">
        <v>14</v>
      </c>
      <c r="H84" t="s">
        <v>15</v>
      </c>
      <c r="I84" s="1">
        <v>46086</v>
      </c>
      <c r="J84" t="s">
        <v>240</v>
      </c>
      <c r="K84" t="s">
        <v>241</v>
      </c>
    </row>
    <row r="85" spans="1:11" x14ac:dyDescent="0.25">
      <c r="A85" s="3">
        <v>46086</v>
      </c>
      <c r="B85" s="5" t="s">
        <v>239</v>
      </c>
      <c r="C85" s="5" t="s">
        <v>239</v>
      </c>
      <c r="D85" s="5" t="s">
        <v>12</v>
      </c>
      <c r="E85" s="4" t="str">
        <f>"00971544447870"</f>
        <v>00971544447870</v>
      </c>
      <c r="F85" s="2" t="s">
        <v>13</v>
      </c>
      <c r="G85" s="2" t="s">
        <v>14</v>
      </c>
      <c r="H85" t="s">
        <v>15</v>
      </c>
      <c r="I85" s="1">
        <v>46086</v>
      </c>
      <c r="J85" t="s">
        <v>242</v>
      </c>
      <c r="K85" t="s">
        <v>243</v>
      </c>
    </row>
    <row r="86" spans="1:11" x14ac:dyDescent="0.25">
      <c r="A86" s="3">
        <v>46086</v>
      </c>
      <c r="B86" s="5" t="s">
        <v>244</v>
      </c>
      <c r="C86" s="5" t="s">
        <v>244</v>
      </c>
      <c r="D86" s="5" t="s">
        <v>12</v>
      </c>
      <c r="E86" s="4" t="str">
        <f>"0097125538180"</f>
        <v>0097125538180</v>
      </c>
      <c r="F86" s="2" t="s">
        <v>13</v>
      </c>
      <c r="G86" s="2" t="s">
        <v>14</v>
      </c>
      <c r="H86" t="s">
        <v>15</v>
      </c>
      <c r="I86" s="1">
        <v>46086</v>
      </c>
      <c r="J86" t="s">
        <v>245</v>
      </c>
      <c r="K86" t="s">
        <v>246</v>
      </c>
    </row>
    <row r="87" spans="1:11" x14ac:dyDescent="0.25">
      <c r="A87" s="3">
        <v>46086</v>
      </c>
      <c r="B87" s="5" t="s">
        <v>244</v>
      </c>
      <c r="C87" s="5" t="s">
        <v>244</v>
      </c>
      <c r="D87" s="5" t="s">
        <v>12</v>
      </c>
      <c r="E87" s="4" t="str">
        <f>"00971502818353"</f>
        <v>00971502818353</v>
      </c>
      <c r="F87" s="2" t="s">
        <v>13</v>
      </c>
      <c r="G87" s="2" t="s">
        <v>14</v>
      </c>
      <c r="H87" t="s">
        <v>15</v>
      </c>
      <c r="I87" s="1">
        <v>46086</v>
      </c>
      <c r="J87" t="s">
        <v>247</v>
      </c>
      <c r="K87" t="s">
        <v>248</v>
      </c>
    </row>
    <row r="88" spans="1:11" x14ac:dyDescent="0.25">
      <c r="A88" s="3">
        <v>46086</v>
      </c>
      <c r="B88" s="5" t="s">
        <v>249</v>
      </c>
      <c r="C88" s="5" t="s">
        <v>249</v>
      </c>
      <c r="D88" s="5" t="s">
        <v>12</v>
      </c>
      <c r="E88" s="4" t="str">
        <f>"0097126277090"</f>
        <v>0097126277090</v>
      </c>
      <c r="F88" s="2" t="s">
        <v>13</v>
      </c>
      <c r="G88" s="2" t="s">
        <v>14</v>
      </c>
      <c r="H88" t="s">
        <v>15</v>
      </c>
      <c r="I88" s="1">
        <v>46086</v>
      </c>
      <c r="J88" t="s">
        <v>250</v>
      </c>
      <c r="K88" t="s">
        <v>251</v>
      </c>
    </row>
    <row r="89" spans="1:11" x14ac:dyDescent="0.25">
      <c r="A89" s="3">
        <v>46086</v>
      </c>
      <c r="B89" s="5" t="s">
        <v>249</v>
      </c>
      <c r="C89" s="5" t="s">
        <v>249</v>
      </c>
      <c r="D89" s="5" t="s">
        <v>12</v>
      </c>
      <c r="E89" s="4" t="str">
        <f>"00971506715214"</f>
        <v>00971506715214</v>
      </c>
      <c r="F89" s="2" t="s">
        <v>13</v>
      </c>
      <c r="G89" s="2" t="s">
        <v>14</v>
      </c>
      <c r="H89" t="s">
        <v>15</v>
      </c>
      <c r="I89" s="1">
        <v>46086</v>
      </c>
      <c r="J89" t="s">
        <v>252</v>
      </c>
      <c r="K89" t="s">
        <v>253</v>
      </c>
    </row>
    <row r="90" spans="1:11" x14ac:dyDescent="0.25">
      <c r="A90" s="3">
        <v>46086</v>
      </c>
      <c r="B90" s="5" t="s">
        <v>254</v>
      </c>
      <c r="C90" s="5" t="s">
        <v>254</v>
      </c>
      <c r="D90" s="5" t="s">
        <v>12</v>
      </c>
      <c r="E90" s="4" t="str">
        <f>"0097126788144"</f>
        <v>0097126788144</v>
      </c>
      <c r="F90" s="2" t="s">
        <v>13</v>
      </c>
      <c r="G90" s="2" t="s">
        <v>14</v>
      </c>
      <c r="H90" t="s">
        <v>15</v>
      </c>
      <c r="I90" s="1">
        <v>46086</v>
      </c>
      <c r="J90" t="s">
        <v>255</v>
      </c>
      <c r="K90" t="s">
        <v>256</v>
      </c>
    </row>
    <row r="91" spans="1:11" x14ac:dyDescent="0.25">
      <c r="A91" s="3">
        <v>46086</v>
      </c>
      <c r="B91" s="5" t="s">
        <v>254</v>
      </c>
      <c r="C91" s="5" t="s">
        <v>254</v>
      </c>
      <c r="D91" s="5" t="s">
        <v>12</v>
      </c>
      <c r="E91" s="4" t="str">
        <f>"00971506722159"</f>
        <v>00971506722159</v>
      </c>
      <c r="F91" s="2" t="s">
        <v>13</v>
      </c>
      <c r="G91" s="2" t="s">
        <v>14</v>
      </c>
      <c r="H91" t="s">
        <v>15</v>
      </c>
      <c r="I91" s="1">
        <v>46086</v>
      </c>
      <c r="J91" t="s">
        <v>257</v>
      </c>
      <c r="K91" t="s">
        <v>258</v>
      </c>
    </row>
    <row r="92" spans="1:11" x14ac:dyDescent="0.25">
      <c r="A92" s="3">
        <v>46086</v>
      </c>
      <c r="B92" s="5" t="s">
        <v>259</v>
      </c>
      <c r="C92" s="5" t="s">
        <v>259</v>
      </c>
      <c r="D92" s="5" t="s">
        <v>12</v>
      </c>
      <c r="E92" s="4" t="str">
        <f>"00971555497097"</f>
        <v>00971555497097</v>
      </c>
      <c r="F92" s="2" t="s">
        <v>13</v>
      </c>
      <c r="G92" s="2" t="s">
        <v>14</v>
      </c>
      <c r="H92" t="s">
        <v>15</v>
      </c>
      <c r="I92" s="1">
        <v>46086</v>
      </c>
      <c r="J92" t="s">
        <v>260</v>
      </c>
      <c r="K92" t="s">
        <v>261</v>
      </c>
    </row>
    <row r="93" spans="1:11" x14ac:dyDescent="0.25">
      <c r="A93" s="3">
        <v>46086</v>
      </c>
      <c r="B93" s="5" t="s">
        <v>262</v>
      </c>
      <c r="C93" s="5" t="s">
        <v>262</v>
      </c>
      <c r="D93" s="5" t="s">
        <v>12</v>
      </c>
      <c r="E93" s="4" t="str">
        <f>"0097128721175"</f>
        <v>0097128721175</v>
      </c>
      <c r="F93" s="2" t="s">
        <v>13</v>
      </c>
      <c r="G93" s="2" t="s">
        <v>14</v>
      </c>
      <c r="H93" t="s">
        <v>15</v>
      </c>
      <c r="I93" s="1">
        <v>46086</v>
      </c>
      <c r="J93" t="s">
        <v>263</v>
      </c>
      <c r="K93" t="s">
        <v>264</v>
      </c>
    </row>
    <row r="94" spans="1:11" x14ac:dyDescent="0.25">
      <c r="A94" s="3">
        <v>46086</v>
      </c>
      <c r="B94" s="5" t="s">
        <v>265</v>
      </c>
      <c r="C94" s="5" t="s">
        <v>265</v>
      </c>
      <c r="D94" s="5" t="s">
        <v>12</v>
      </c>
      <c r="E94" s="4" t="str">
        <f>"0097126412955"</f>
        <v>0097126412955</v>
      </c>
      <c r="F94" s="2" t="s">
        <v>13</v>
      </c>
      <c r="G94" s="2" t="s">
        <v>14</v>
      </c>
      <c r="H94" t="s">
        <v>15</v>
      </c>
      <c r="I94" s="1">
        <v>46086</v>
      </c>
      <c r="J94" t="s">
        <v>266</v>
      </c>
      <c r="K94" t="s">
        <v>267</v>
      </c>
    </row>
    <row r="95" spans="1:11" x14ac:dyDescent="0.25">
      <c r="A95" s="3">
        <v>46086</v>
      </c>
      <c r="B95" s="5" t="s">
        <v>268</v>
      </c>
      <c r="C95" s="5" t="s">
        <v>268</v>
      </c>
      <c r="D95" s="5" t="s">
        <v>12</v>
      </c>
      <c r="E95" s="4" t="str">
        <f>"0097125559614"</f>
        <v>0097125559614</v>
      </c>
      <c r="F95" s="2" t="s">
        <v>13</v>
      </c>
      <c r="G95" s="2" t="s">
        <v>14</v>
      </c>
      <c r="H95" t="s">
        <v>15</v>
      </c>
      <c r="I95" s="1">
        <v>46086</v>
      </c>
      <c r="J95" t="s">
        <v>269</v>
      </c>
      <c r="K95" t="s">
        <v>270</v>
      </c>
    </row>
    <row r="96" spans="1:11" x14ac:dyDescent="0.25">
      <c r="A96" s="3">
        <v>46086</v>
      </c>
      <c r="B96" s="5" t="s">
        <v>271</v>
      </c>
      <c r="C96" s="5" t="s">
        <v>271</v>
      </c>
      <c r="D96" s="5" t="s">
        <v>12</v>
      </c>
      <c r="E96" s="4" t="str">
        <f>"0097126222124"</f>
        <v>0097126222124</v>
      </c>
      <c r="F96" s="2" t="s">
        <v>13</v>
      </c>
      <c r="G96" s="2" t="s">
        <v>14</v>
      </c>
      <c r="H96" t="s">
        <v>15</v>
      </c>
      <c r="I96" s="1">
        <v>46086</v>
      </c>
      <c r="J96" t="s">
        <v>272</v>
      </c>
      <c r="K96" t="s">
        <v>273</v>
      </c>
    </row>
    <row r="97" spans="1:11" x14ac:dyDescent="0.25">
      <c r="A97" s="3">
        <v>46086</v>
      </c>
      <c r="B97" s="5" t="s">
        <v>274</v>
      </c>
      <c r="C97" s="5" t="s">
        <v>274</v>
      </c>
      <c r="D97" s="5" t="s">
        <v>12</v>
      </c>
      <c r="E97" s="4" t="str">
        <f>"0097126272000"</f>
        <v>0097126272000</v>
      </c>
      <c r="F97" s="2" t="s">
        <v>13</v>
      </c>
      <c r="G97" s="2" t="s">
        <v>14</v>
      </c>
      <c r="H97" t="s">
        <v>15</v>
      </c>
      <c r="I97" s="1">
        <v>46086</v>
      </c>
      <c r="J97" t="s">
        <v>275</v>
      </c>
      <c r="K97" t="s">
        <v>276</v>
      </c>
    </row>
    <row r="98" spans="1:11" x14ac:dyDescent="0.25">
      <c r="A98" s="3">
        <v>46086</v>
      </c>
      <c r="B98" s="5" t="s">
        <v>277</v>
      </c>
      <c r="C98" s="5" t="s">
        <v>277</v>
      </c>
      <c r="D98" s="5" t="s">
        <v>12</v>
      </c>
      <c r="E98" s="4" t="str">
        <f>"0097126224034"</f>
        <v>0097126224034</v>
      </c>
      <c r="F98" s="2" t="s">
        <v>13</v>
      </c>
      <c r="G98" s="2" t="s">
        <v>14</v>
      </c>
      <c r="H98" t="s">
        <v>15</v>
      </c>
      <c r="I98" s="1">
        <v>46086</v>
      </c>
      <c r="J98" t="s">
        <v>278</v>
      </c>
      <c r="K98" t="s">
        <v>279</v>
      </c>
    </row>
    <row r="99" spans="1:11" x14ac:dyDescent="0.25">
      <c r="A99" s="3">
        <v>46086</v>
      </c>
      <c r="B99" s="5" t="s">
        <v>280</v>
      </c>
      <c r="C99" s="5" t="s">
        <v>280</v>
      </c>
      <c r="D99" s="5" t="s">
        <v>12</v>
      </c>
      <c r="E99" s="4" t="str">
        <f>"0097125540728"</f>
        <v>0097125540728</v>
      </c>
      <c r="F99" s="2" t="s">
        <v>13</v>
      </c>
      <c r="G99" s="2" t="s">
        <v>14</v>
      </c>
      <c r="H99" t="s">
        <v>15</v>
      </c>
      <c r="I99" s="1">
        <v>46086</v>
      </c>
      <c r="J99" t="s">
        <v>281</v>
      </c>
      <c r="K99" t="s">
        <v>282</v>
      </c>
    </row>
    <row r="100" spans="1:11" x14ac:dyDescent="0.25">
      <c r="A100" s="3">
        <v>46086</v>
      </c>
      <c r="B100" s="5" t="s">
        <v>283</v>
      </c>
      <c r="C100" s="5" t="s">
        <v>283</v>
      </c>
      <c r="D100" s="5" t="s">
        <v>12</v>
      </c>
      <c r="E100" s="4" t="str">
        <f>"0097126328848"</f>
        <v>0097126328848</v>
      </c>
      <c r="F100" s="2" t="s">
        <v>13</v>
      </c>
      <c r="G100" s="2" t="s">
        <v>14</v>
      </c>
      <c r="H100" t="s">
        <v>15</v>
      </c>
      <c r="I100" s="1">
        <v>46086</v>
      </c>
      <c r="J100" t="s">
        <v>284</v>
      </c>
      <c r="K100" t="s">
        <v>285</v>
      </c>
    </row>
    <row r="101" spans="1:11" x14ac:dyDescent="0.25">
      <c r="A101" s="3">
        <v>46086</v>
      </c>
      <c r="B101" s="5" t="s">
        <v>286</v>
      </c>
      <c r="C101" s="5" t="s">
        <v>286</v>
      </c>
      <c r="D101" s="5" t="s">
        <v>12</v>
      </c>
      <c r="E101" s="4" t="str">
        <f>"0097125559143"</f>
        <v>0097125559143</v>
      </c>
      <c r="F101" s="2" t="s">
        <v>13</v>
      </c>
      <c r="G101" s="2" t="s">
        <v>14</v>
      </c>
      <c r="H101" t="s">
        <v>15</v>
      </c>
      <c r="I101" s="1">
        <v>46086</v>
      </c>
      <c r="J101" t="s">
        <v>287</v>
      </c>
      <c r="K101" t="s">
        <v>288</v>
      </c>
    </row>
    <row r="102" spans="1:11" x14ac:dyDescent="0.25">
      <c r="A102" s="3">
        <v>46086</v>
      </c>
      <c r="B102" s="5" t="s">
        <v>286</v>
      </c>
      <c r="C102" s="5" t="s">
        <v>286</v>
      </c>
      <c r="D102" s="5" t="s">
        <v>12</v>
      </c>
      <c r="E102" s="4" t="str">
        <f>"00971505822930"</f>
        <v>00971505822930</v>
      </c>
      <c r="F102" s="2" t="s">
        <v>13</v>
      </c>
      <c r="G102" s="2" t="s">
        <v>14</v>
      </c>
      <c r="H102" t="s">
        <v>15</v>
      </c>
      <c r="I102" s="1">
        <v>46086</v>
      </c>
      <c r="J102" t="s">
        <v>289</v>
      </c>
      <c r="K102" t="s">
        <v>290</v>
      </c>
    </row>
    <row r="103" spans="1:11" x14ac:dyDescent="0.25">
      <c r="A103" s="3">
        <v>46086</v>
      </c>
      <c r="B103" s="5" t="s">
        <v>291</v>
      </c>
      <c r="C103" s="5" t="s">
        <v>291</v>
      </c>
      <c r="D103" s="5" t="s">
        <v>12</v>
      </c>
      <c r="E103" s="4" t="str">
        <f>"00971505284639"</f>
        <v>00971505284639</v>
      </c>
      <c r="F103" s="2" t="s">
        <v>13</v>
      </c>
      <c r="G103" s="2" t="s">
        <v>14</v>
      </c>
      <c r="H103" t="s">
        <v>15</v>
      </c>
      <c r="I103" s="1">
        <v>46086</v>
      </c>
      <c r="J103" t="s">
        <v>292</v>
      </c>
      <c r="K103" t="s">
        <v>293</v>
      </c>
    </row>
    <row r="104" spans="1:11" x14ac:dyDescent="0.25">
      <c r="A104" s="3">
        <v>46086</v>
      </c>
      <c r="B104" s="5" t="s">
        <v>294</v>
      </c>
      <c r="C104" s="5" t="s">
        <v>294</v>
      </c>
      <c r="D104" s="5" t="s">
        <v>12</v>
      </c>
      <c r="E104" s="4" t="str">
        <f>"0097126743789"</f>
        <v>0097126743789</v>
      </c>
      <c r="F104" s="2" t="s">
        <v>13</v>
      </c>
      <c r="G104" s="2" t="s">
        <v>14</v>
      </c>
      <c r="H104" t="s">
        <v>15</v>
      </c>
      <c r="I104" s="1">
        <v>46086</v>
      </c>
      <c r="J104" t="s">
        <v>295</v>
      </c>
      <c r="K104" t="s">
        <v>296</v>
      </c>
    </row>
    <row r="105" spans="1:11" x14ac:dyDescent="0.25">
      <c r="A105" s="3">
        <v>46086</v>
      </c>
      <c r="B105" s="5" t="s">
        <v>297</v>
      </c>
      <c r="C105" s="5" t="s">
        <v>297</v>
      </c>
      <c r="D105" s="5" t="s">
        <v>12</v>
      </c>
      <c r="E105" s="4" t="str">
        <f>"0097126329357"</f>
        <v>0097126329357</v>
      </c>
      <c r="F105" s="2" t="s">
        <v>13</v>
      </c>
      <c r="G105" s="2" t="s">
        <v>14</v>
      </c>
      <c r="H105" t="s">
        <v>15</v>
      </c>
      <c r="I105" s="1">
        <v>46086</v>
      </c>
      <c r="J105" t="s">
        <v>298</v>
      </c>
      <c r="K105" t="s">
        <v>299</v>
      </c>
    </row>
    <row r="106" spans="1:11" x14ac:dyDescent="0.25">
      <c r="A106" s="3">
        <v>46086</v>
      </c>
      <c r="B106" s="5" t="s">
        <v>300</v>
      </c>
      <c r="C106" s="5" t="s">
        <v>300</v>
      </c>
      <c r="D106" s="5" t="s">
        <v>12</v>
      </c>
      <c r="E106" s="4" t="str">
        <f>"0097126441677"</f>
        <v>0097126441677</v>
      </c>
      <c r="F106" s="2" t="s">
        <v>13</v>
      </c>
      <c r="G106" s="2" t="s">
        <v>14</v>
      </c>
      <c r="H106" t="s">
        <v>15</v>
      </c>
      <c r="I106" s="1">
        <v>46086</v>
      </c>
      <c r="J106" t="s">
        <v>301</v>
      </c>
      <c r="K106" t="s">
        <v>302</v>
      </c>
    </row>
    <row r="107" spans="1:11" x14ac:dyDescent="0.25">
      <c r="A107" s="3">
        <v>46086</v>
      </c>
      <c r="B107" s="5" t="s">
        <v>303</v>
      </c>
      <c r="C107" s="5" t="s">
        <v>303</v>
      </c>
      <c r="D107" s="5" t="s">
        <v>12</v>
      </c>
      <c r="E107" s="4" t="str">
        <f>"0097126421393"</f>
        <v>0097126421393</v>
      </c>
      <c r="F107" s="2" t="s">
        <v>13</v>
      </c>
      <c r="G107" s="2" t="s">
        <v>14</v>
      </c>
      <c r="H107" t="s">
        <v>15</v>
      </c>
      <c r="I107" s="1">
        <v>46086</v>
      </c>
      <c r="J107" t="s">
        <v>304</v>
      </c>
      <c r="K107" t="s">
        <v>305</v>
      </c>
    </row>
    <row r="108" spans="1:11" x14ac:dyDescent="0.25">
      <c r="A108" s="3">
        <v>46086</v>
      </c>
      <c r="B108" s="5" t="s">
        <v>306</v>
      </c>
      <c r="C108" s="5" t="s">
        <v>306</v>
      </c>
      <c r="D108" s="5" t="s">
        <v>12</v>
      </c>
      <c r="E108" s="4" t="str">
        <f>"0097126274177"</f>
        <v>0097126274177</v>
      </c>
      <c r="F108" s="2" t="s">
        <v>13</v>
      </c>
      <c r="G108" s="2" t="s">
        <v>14</v>
      </c>
      <c r="H108" t="s">
        <v>15</v>
      </c>
      <c r="I108" s="1">
        <v>46086</v>
      </c>
      <c r="J108" t="s">
        <v>307</v>
      </c>
      <c r="K108" t="s">
        <v>308</v>
      </c>
    </row>
    <row r="109" spans="1:11" x14ac:dyDescent="0.25">
      <c r="A109" s="3">
        <v>46086</v>
      </c>
      <c r="B109" s="5" t="s">
        <v>309</v>
      </c>
      <c r="C109" s="5" t="s">
        <v>309</v>
      </c>
      <c r="D109" s="5" t="s">
        <v>12</v>
      </c>
      <c r="E109" s="4" t="str">
        <f>"0097126781036"</f>
        <v>0097126781036</v>
      </c>
      <c r="F109" s="2" t="s">
        <v>13</v>
      </c>
      <c r="G109" s="2" t="s">
        <v>14</v>
      </c>
      <c r="H109" t="s">
        <v>15</v>
      </c>
      <c r="I109" s="1">
        <v>46086</v>
      </c>
      <c r="J109" t="s">
        <v>310</v>
      </c>
      <c r="K109" t="s">
        <v>311</v>
      </c>
    </row>
    <row r="110" spans="1:11" x14ac:dyDescent="0.25">
      <c r="A110" s="3">
        <v>46086</v>
      </c>
      <c r="B110" s="5" t="s">
        <v>312</v>
      </c>
      <c r="C110" s="5" t="s">
        <v>312</v>
      </c>
      <c r="D110" s="5" t="s">
        <v>12</v>
      </c>
      <c r="E110" s="4" t="str">
        <f>"0097125500888"</f>
        <v>0097125500888</v>
      </c>
      <c r="F110" s="2" t="s">
        <v>13</v>
      </c>
      <c r="G110" s="2" t="s">
        <v>14</v>
      </c>
      <c r="H110" t="s">
        <v>15</v>
      </c>
      <c r="I110" s="1">
        <v>46086</v>
      </c>
      <c r="J110" t="s">
        <v>313</v>
      </c>
      <c r="K110" t="s">
        <v>314</v>
      </c>
    </row>
    <row r="111" spans="1:11" x14ac:dyDescent="0.25">
      <c r="A111" s="3">
        <v>46086</v>
      </c>
      <c r="B111" s="5" t="s">
        <v>315</v>
      </c>
      <c r="C111" s="5" t="s">
        <v>315</v>
      </c>
      <c r="D111" s="5" t="s">
        <v>12</v>
      </c>
      <c r="E111" s="4" t="str">
        <f>"0097125553949"</f>
        <v>0097125553949</v>
      </c>
      <c r="F111" s="2" t="s">
        <v>13</v>
      </c>
      <c r="G111" s="2" t="s">
        <v>14</v>
      </c>
      <c r="H111" t="s">
        <v>15</v>
      </c>
      <c r="I111" s="1">
        <v>46086</v>
      </c>
      <c r="J111" t="s">
        <v>316</v>
      </c>
      <c r="K111" t="s">
        <v>317</v>
      </c>
    </row>
    <row r="112" spans="1:11" x14ac:dyDescent="0.25">
      <c r="A112" s="3">
        <v>46086</v>
      </c>
      <c r="B112" s="5" t="s">
        <v>318</v>
      </c>
      <c r="C112" s="5" t="s">
        <v>318</v>
      </c>
      <c r="D112" s="5" t="s">
        <v>12</v>
      </c>
      <c r="E112" s="4" t="str">
        <f>"0097126343615"</f>
        <v>0097126343615</v>
      </c>
      <c r="F112" s="2" t="s">
        <v>13</v>
      </c>
      <c r="G112" s="2" t="s">
        <v>14</v>
      </c>
      <c r="H112" t="s">
        <v>15</v>
      </c>
      <c r="I112" s="1">
        <v>46086</v>
      </c>
      <c r="J112" t="s">
        <v>319</v>
      </c>
      <c r="K112" t="s">
        <v>320</v>
      </c>
    </row>
    <row r="113" spans="1:11" x14ac:dyDescent="0.25">
      <c r="A113" s="3">
        <v>46086</v>
      </c>
      <c r="B113" s="5" t="s">
        <v>321</v>
      </c>
      <c r="C113" s="5" t="s">
        <v>321</v>
      </c>
      <c r="D113" s="5" t="s">
        <v>12</v>
      </c>
      <c r="E113" s="4" t="str">
        <f>"0097125541814"</f>
        <v>0097125541814</v>
      </c>
      <c r="F113" s="2" t="s">
        <v>13</v>
      </c>
      <c r="G113" s="2" t="s">
        <v>14</v>
      </c>
      <c r="H113" t="s">
        <v>15</v>
      </c>
      <c r="I113" s="1">
        <v>46086</v>
      </c>
      <c r="J113" t="s">
        <v>322</v>
      </c>
      <c r="K113" t="s">
        <v>323</v>
      </c>
    </row>
    <row r="114" spans="1:11" x14ac:dyDescent="0.25">
      <c r="A114" s="3">
        <v>46086</v>
      </c>
      <c r="B114" s="5" t="s">
        <v>324</v>
      </c>
      <c r="C114" s="5" t="s">
        <v>324</v>
      </c>
      <c r="D114" s="5" t="s">
        <v>12</v>
      </c>
      <c r="E114" s="4" t="str">
        <f>"0097126269663"</f>
        <v>0097126269663</v>
      </c>
      <c r="F114" s="2" t="s">
        <v>13</v>
      </c>
      <c r="G114" s="2" t="s">
        <v>14</v>
      </c>
      <c r="H114" t="s">
        <v>15</v>
      </c>
      <c r="I114" s="1">
        <v>46086</v>
      </c>
      <c r="J114" t="s">
        <v>325</v>
      </c>
      <c r="K114" t="s">
        <v>326</v>
      </c>
    </row>
    <row r="115" spans="1:11" x14ac:dyDescent="0.25">
      <c r="A115" s="3">
        <v>46086</v>
      </c>
      <c r="B115" s="5" t="s">
        <v>324</v>
      </c>
      <c r="C115" s="5" t="s">
        <v>324</v>
      </c>
      <c r="D115" s="5" t="s">
        <v>12</v>
      </c>
      <c r="E115" s="4" t="str">
        <f>"00971506118030"</f>
        <v>00971506118030</v>
      </c>
      <c r="F115" s="2" t="s">
        <v>13</v>
      </c>
      <c r="G115" s="2" t="s">
        <v>14</v>
      </c>
      <c r="H115" t="s">
        <v>15</v>
      </c>
      <c r="I115" s="1">
        <v>46086</v>
      </c>
      <c r="J115" t="s">
        <v>327</v>
      </c>
      <c r="K115" t="s">
        <v>328</v>
      </c>
    </row>
    <row r="116" spans="1:11" x14ac:dyDescent="0.25">
      <c r="A116" s="3">
        <v>46086</v>
      </c>
      <c r="B116" s="5" t="s">
        <v>329</v>
      </c>
      <c r="C116" s="5" t="s">
        <v>329</v>
      </c>
      <c r="D116" s="5" t="s">
        <v>12</v>
      </c>
      <c r="E116" s="4" t="str">
        <f>"0097125541719"</f>
        <v>0097125541719</v>
      </c>
      <c r="F116" s="2" t="s">
        <v>13</v>
      </c>
      <c r="G116" s="2" t="s">
        <v>14</v>
      </c>
      <c r="H116" t="s">
        <v>15</v>
      </c>
      <c r="I116" s="1">
        <v>46086</v>
      </c>
      <c r="J116" t="s">
        <v>330</v>
      </c>
      <c r="K116" t="s">
        <v>331</v>
      </c>
    </row>
    <row r="117" spans="1:11" x14ac:dyDescent="0.25">
      <c r="A117" s="3">
        <v>46086</v>
      </c>
      <c r="B117" s="5" t="s">
        <v>332</v>
      </c>
      <c r="C117" s="5" t="s">
        <v>332</v>
      </c>
      <c r="D117" s="5" t="s">
        <v>12</v>
      </c>
      <c r="E117" s="4" t="str">
        <f>"0097126332935"</f>
        <v>0097126332935</v>
      </c>
      <c r="F117" s="2" t="s">
        <v>13</v>
      </c>
      <c r="G117" s="2" t="s">
        <v>14</v>
      </c>
      <c r="H117" t="s">
        <v>15</v>
      </c>
      <c r="I117" s="1">
        <v>46086</v>
      </c>
      <c r="J117" t="s">
        <v>333</v>
      </c>
      <c r="K117" t="s">
        <v>334</v>
      </c>
    </row>
    <row r="118" spans="1:11" x14ac:dyDescent="0.25">
      <c r="A118" s="3">
        <v>46086</v>
      </c>
      <c r="B118" s="5" t="s">
        <v>335</v>
      </c>
      <c r="C118" s="5" t="s">
        <v>335</v>
      </c>
      <c r="D118" s="5" t="s">
        <v>12</v>
      </c>
      <c r="E118" s="4" t="str">
        <f>"0097126764833"</f>
        <v>0097126764833</v>
      </c>
      <c r="F118" s="2" t="s">
        <v>13</v>
      </c>
      <c r="G118" s="2" t="s">
        <v>14</v>
      </c>
      <c r="H118" t="s">
        <v>15</v>
      </c>
      <c r="I118" s="1">
        <v>46086</v>
      </c>
      <c r="J118" t="s">
        <v>336</v>
      </c>
      <c r="K118" t="s">
        <v>337</v>
      </c>
    </row>
    <row r="119" spans="1:11" x14ac:dyDescent="0.25">
      <c r="A119" s="3">
        <v>46086</v>
      </c>
      <c r="B119" s="5" t="s">
        <v>338</v>
      </c>
      <c r="C119" s="5" t="s">
        <v>338</v>
      </c>
      <c r="D119" s="5" t="s">
        <v>12</v>
      </c>
      <c r="E119" s="4" t="str">
        <f>"0097125580816"</f>
        <v>0097125580816</v>
      </c>
      <c r="F119" s="2" t="s">
        <v>13</v>
      </c>
      <c r="G119" s="2" t="s">
        <v>14</v>
      </c>
      <c r="H119" t="s">
        <v>15</v>
      </c>
      <c r="I119" s="1">
        <v>46086</v>
      </c>
      <c r="J119" t="s">
        <v>339</v>
      </c>
      <c r="K119" t="s">
        <v>340</v>
      </c>
    </row>
    <row r="120" spans="1:11" x14ac:dyDescent="0.25">
      <c r="A120" s="3">
        <v>46086</v>
      </c>
      <c r="B120" s="5" t="s">
        <v>338</v>
      </c>
      <c r="C120" s="5" t="s">
        <v>338</v>
      </c>
      <c r="D120" s="5" t="s">
        <v>12</v>
      </c>
      <c r="E120" s="4" t="str">
        <f>"00971503308235"</f>
        <v>00971503308235</v>
      </c>
      <c r="F120" s="2" t="s">
        <v>13</v>
      </c>
      <c r="G120" s="2" t="s">
        <v>14</v>
      </c>
      <c r="H120" t="s">
        <v>15</v>
      </c>
      <c r="I120" s="1">
        <v>46086</v>
      </c>
      <c r="J120" t="s">
        <v>341</v>
      </c>
      <c r="K120" t="s">
        <v>342</v>
      </c>
    </row>
    <row r="121" spans="1:11" x14ac:dyDescent="0.25">
      <c r="A121" s="3">
        <v>46086</v>
      </c>
      <c r="B121" s="5" t="s">
        <v>343</v>
      </c>
      <c r="C121" s="5" t="s">
        <v>343</v>
      </c>
      <c r="D121" s="5" t="s">
        <v>12</v>
      </c>
      <c r="E121" s="4" t="str">
        <f>"0097126210540"</f>
        <v>0097126210540</v>
      </c>
      <c r="F121" s="2" t="s">
        <v>13</v>
      </c>
      <c r="G121" s="2" t="s">
        <v>14</v>
      </c>
      <c r="H121" t="s">
        <v>15</v>
      </c>
      <c r="I121" s="1">
        <v>46086</v>
      </c>
      <c r="J121" t="s">
        <v>344</v>
      </c>
      <c r="K121" t="s">
        <v>345</v>
      </c>
    </row>
    <row r="122" spans="1:11" x14ac:dyDescent="0.25">
      <c r="A122" s="3">
        <v>46086</v>
      </c>
      <c r="B122" s="5" t="s">
        <v>346</v>
      </c>
      <c r="C122" s="5" t="s">
        <v>346</v>
      </c>
      <c r="D122" s="5" t="s">
        <v>12</v>
      </c>
      <c r="E122" s="4" t="str">
        <f>"0097125542517"</f>
        <v>0097125542517</v>
      </c>
      <c r="F122" s="2" t="s">
        <v>13</v>
      </c>
      <c r="G122" s="2" t="s">
        <v>14</v>
      </c>
      <c r="H122" t="s">
        <v>15</v>
      </c>
      <c r="I122" s="1">
        <v>46086</v>
      </c>
      <c r="J122" t="s">
        <v>347</v>
      </c>
      <c r="K122" t="s">
        <v>348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TEMP_LEADS_Abu_Dhabi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2026-03-05T23:23:36Z</dcterms:created>
  <dcterms:modified xsi:type="dcterms:W3CDTF">2026-03-05T23:23:37Z</dcterms:modified>
</cp:coreProperties>
</file>