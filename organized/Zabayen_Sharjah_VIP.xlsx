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b7891681c32f5/Desktop/client lead/organized/"/>
    </mc:Choice>
  </mc:AlternateContent>
  <xr:revisionPtr revIDLastSave="0" documentId="8_{C5FEB79E-775D-4698-84EA-3337E0212CE8}" xr6:coauthVersionLast="47" xr6:coauthVersionMax="47" xr10:uidLastSave="{00000000-0000-0000-0000-000000000000}"/>
  <bookViews>
    <workbookView xWindow="-108" yWindow="-108" windowWidth="23256" windowHeight="12456" xr2:uid="{B9C682F8-A1DE-42D7-A02C-CC971BE7C5E7}"/>
  </bookViews>
  <sheets>
    <sheet name="TEMP_LEADS_Sharja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</calcChain>
</file>

<file path=xl/sharedStrings.xml><?xml version="1.0" encoding="utf-8"?>
<sst xmlns="http://schemas.openxmlformats.org/spreadsheetml/2006/main" count="875" uniqueCount="302">
  <si>
    <t>date</t>
  </si>
  <si>
    <t>lead_name</t>
  </si>
  <si>
    <t>business</t>
  </si>
  <si>
    <t>area</t>
  </si>
  <si>
    <t>phone_or_link</t>
  </si>
  <si>
    <t>channel</t>
  </si>
  <si>
    <t>status</t>
  </si>
  <si>
    <t>next_action</t>
  </si>
  <si>
    <t>next_date</t>
  </si>
  <si>
    <t>notes</t>
  </si>
  <si>
    <t>lead_id</t>
  </si>
  <si>
    <t>101 Parathas</t>
  </si>
  <si>
    <t>Sharjah</t>
  </si>
  <si>
    <t>WhatsApp</t>
  </si>
  <si>
    <t>NEW</t>
  </si>
  <si>
    <t>Review and send compliant outreach</t>
  </si>
  <si>
    <t>YellowPages UAE profile | landline_or_tollfree | https://www.yellowpages-uae.com/101-parathas-175272</t>
  </si>
  <si>
    <t>UAE0881</t>
  </si>
  <si>
    <t>UAE0882</t>
  </si>
  <si>
    <t>123 Cargo LLC</t>
  </si>
  <si>
    <t>YellowPages UAE profile | mobile | https://www.yellowpages-uae.com/123-cargo-llc-170093</t>
  </si>
  <si>
    <t>UAE0883</t>
  </si>
  <si>
    <t>YellowPages UAE profile | landline_or_tollfree | https://www.yellowpages-uae.com/123-cargo-llc-170093</t>
  </si>
  <si>
    <t>UAE0884</t>
  </si>
  <si>
    <t>YellowPages UAE profile | landline_or_tollfree | https://www.yellowpages-uae.com/123-cargo-llc-170094</t>
  </si>
  <si>
    <t>UAE0885</t>
  </si>
  <si>
    <t>18 Fashion</t>
  </si>
  <si>
    <t>YellowPages UAE profile | landline_or_tollfree | https://www.yellowpages-uae.com/18-fashion-164156</t>
  </si>
  <si>
    <t>UAE0886</t>
  </si>
  <si>
    <t>360 Degree Global Trading FZC</t>
  </si>
  <si>
    <t>YellowPages UAE profile | mobile | https://www.yellowpages-uae.com/360-degree-global-trading-fzc-172573</t>
  </si>
  <si>
    <t>UAE0887</t>
  </si>
  <si>
    <t>360 Degree Hub</t>
  </si>
  <si>
    <t>YellowPages UAE profile | mobile | https://www.yellowpages-uae.com/360-degree-hub-189058</t>
  </si>
  <si>
    <t>UAE0888</t>
  </si>
  <si>
    <t>3A Solutions FZC</t>
  </si>
  <si>
    <t>YellowPages UAE profile | landline_or_tollfree | https://www.yellowpages-uae.com/3a-solutions-fzc-114520</t>
  </si>
  <si>
    <t>UAE0889</t>
  </si>
  <si>
    <t>3I Infotech Limited</t>
  </si>
  <si>
    <t>YellowPages UAE profile | landline_or_tollfree | https://www.yellowpages-uae.com/3i-infotech-limited-135943</t>
  </si>
  <si>
    <t>UAE0890</t>
  </si>
  <si>
    <t>4U Power Generation FZC</t>
  </si>
  <si>
    <t>YellowPages UAE profile | mobile | https://www.yellowpages-uae.com/4u-power-generation-fzc-188988</t>
  </si>
  <si>
    <t>UAE0891</t>
  </si>
  <si>
    <t>YellowPages UAE profile | landline_or_tollfree | https://www.yellowpages-uae.com/4u-power-generation-fzc-188988</t>
  </si>
  <si>
    <t>UAE0892</t>
  </si>
  <si>
    <t>7 Dimensions Media FZE</t>
  </si>
  <si>
    <t>YellowPages UAE profile | landline_or_tollfree | https://www.yellowpages-uae.com/7-dimensions-media-fze-127275</t>
  </si>
  <si>
    <t>UAE0893</t>
  </si>
  <si>
    <t>A A A Constn Equipment Establishment</t>
  </si>
  <si>
    <t>YellowPages UAE profile | landline_or_tollfree | https://www.yellowpages-uae.com/a-a-a-constn-equipment-establishment-109630</t>
  </si>
  <si>
    <t>UAE0894</t>
  </si>
  <si>
    <t>A Alico Ltd</t>
  </si>
  <si>
    <t>YellowPages UAE profile | mobile | https://www.yellowpages-uae.com/a-alico-ltd-141175</t>
  </si>
  <si>
    <t>UAE0895</t>
  </si>
  <si>
    <t>YellowPages UAE profile | landline_or_tollfree | https://www.yellowpages-uae.com/a-alico-ltd-141175</t>
  </si>
  <si>
    <t>UAE0896</t>
  </si>
  <si>
    <t>A Alvares</t>
  </si>
  <si>
    <t>YellowPages UAE profile | mobile | https://www.yellowpages-uae.com/a-alvares-145325</t>
  </si>
  <si>
    <t>UAE0897</t>
  </si>
  <si>
    <t>A B C Nursery Sharjah</t>
  </si>
  <si>
    <t>YellowPages UAE profile | landline_or_tollfree | https://www.yellowpages-uae.com/a-b-c-nursery-sharjah-148108</t>
  </si>
  <si>
    <t>UAE0898</t>
  </si>
  <si>
    <t>A B El Fida Pharmacy</t>
  </si>
  <si>
    <t>YellowPages UAE profile | landline_or_tollfree | https://www.yellowpages-uae.com/a-b-el-fida-pharmacy-170976</t>
  </si>
  <si>
    <t>UAE0899</t>
  </si>
  <si>
    <t>A C C L Aero Academy</t>
  </si>
  <si>
    <t>YellowPages UAE profile | landline_or_tollfree | https://www.yellowpages-uae.com/a-c-c-l-aero-academy-164894</t>
  </si>
  <si>
    <t>UAE0900</t>
  </si>
  <si>
    <t>A G Corporation FZE</t>
  </si>
  <si>
    <t>YellowPages UAE profile | landline_or_tollfree | https://www.yellowpages-uae.com/a-g-corporation-fze-164918</t>
  </si>
  <si>
    <t>UAE0901</t>
  </si>
  <si>
    <t>A H S Aviation Services FZE</t>
  </si>
  <si>
    <t>YellowPages UAE profile | landline_or_tollfree | https://www.yellowpages-uae.com/a-h-s-aviation-services-fze-164915</t>
  </si>
  <si>
    <t>UAE0902</t>
  </si>
  <si>
    <t>A Hatim Brothers</t>
  </si>
  <si>
    <t>YellowPages UAE profile | landline_or_tollfree | https://www.yellowpages-uae.com/a-hatim-brothers-113780</t>
  </si>
  <si>
    <t>UAE0903</t>
  </si>
  <si>
    <t>A J M Kooheji Group LLC</t>
  </si>
  <si>
    <t>YellowPages UAE profile | landline_or_tollfree | https://www.yellowpages-uae.com/a-j-m-kooheji-group-llc-164071</t>
  </si>
  <si>
    <t>UAE0904</t>
  </si>
  <si>
    <t>A J Sports</t>
  </si>
  <si>
    <t>YellowPages UAE profile | landline_or_tollfree | https://www.yellowpages-uae.com/a-j-sports-107866</t>
  </si>
  <si>
    <t>UAE0905</t>
  </si>
  <si>
    <t>A Leader Pack - Leader Freight Forwarders</t>
  </si>
  <si>
    <t>YellowPages UAE profile | landline_or_tollfree | https://www.yellowpages-uae.com/a-leader-pack-leader-freight-forwarders-117207</t>
  </si>
  <si>
    <t>UAE0906</t>
  </si>
  <si>
    <t>A M Q Investment</t>
  </si>
  <si>
    <t>YellowPages UAE profile | landline_or_tollfree | https://www.yellowpages-uae.com/a-m-q-investment-157026</t>
  </si>
  <si>
    <t>UAE0907</t>
  </si>
  <si>
    <t>A M T Phones Intl LLC</t>
  </si>
  <si>
    <t>YellowPages UAE profile | landline_or_tollfree | https://www.yellowpages-uae.com/a-m-t-phones-intl-llc-163004</t>
  </si>
  <si>
    <t>UAE0908</t>
  </si>
  <si>
    <t>A Movers</t>
  </si>
  <si>
    <t>YellowPages UAE profile | mobile | https://www.yellowpages-uae.com/a-movers-177497</t>
  </si>
  <si>
    <t>UAE0909</t>
  </si>
  <si>
    <t>A One Metal Coating</t>
  </si>
  <si>
    <t>YellowPages UAE profile | landline_or_tollfree | https://www.yellowpages-uae.com/a-one-metal-coating-164334</t>
  </si>
  <si>
    <t>UAE0910</t>
  </si>
  <si>
    <t>A One Technology Fire Safety and Security System LLC</t>
  </si>
  <si>
    <t>YellowPages UAE profile | landline_or_tollfree | https://www.yellowpages-uae.com/a-one-technology-fire-safety-and-security-system-llc-153676</t>
  </si>
  <si>
    <t>UAE0911</t>
  </si>
  <si>
    <t>A R Deco Decor And Furniture</t>
  </si>
  <si>
    <t>YellowPages UAE profile | landline_or_tollfree | https://www.yellowpages-uae.com/a-r-deco-decor-and-furniture-172995</t>
  </si>
  <si>
    <t>UAE0912</t>
  </si>
  <si>
    <t>A Royal Fifty3 LLC</t>
  </si>
  <si>
    <t>YellowPages UAE profile | landline_or_tollfree | https://www.yellowpages-uae.com/a-royal-fifty3-llc-180085</t>
  </si>
  <si>
    <t>UAE0913</t>
  </si>
  <si>
    <t>YellowPages UAE profile | mobile | https://www.yellowpages-uae.com/a-royal-fifty3-llc-180085</t>
  </si>
  <si>
    <t>UAE0914</t>
  </si>
  <si>
    <t>A Sabur Eng Company LLC</t>
  </si>
  <si>
    <t>YellowPages UAE profile | landline_or_tollfree | https://www.yellowpages-uae.com/a-sabur-eng-company-llc-125852</t>
  </si>
  <si>
    <t>UAE0915</t>
  </si>
  <si>
    <t>A T Generators</t>
  </si>
  <si>
    <t>YellowPages UAE profile | mobile | https://www.yellowpages-uae.com/a-t-generators-106587</t>
  </si>
  <si>
    <t>UAE0916</t>
  </si>
  <si>
    <t>YellowPages UAE profile | landline_or_tollfree | https://www.yellowpages-uae.com/a-t-generators-106587</t>
  </si>
  <si>
    <t>UAE0917</t>
  </si>
  <si>
    <t>A.alico.LLC</t>
  </si>
  <si>
    <t>YellowPages UAE profile | mobile | https://www.yellowpages-uae.com/aalicollc-182855</t>
  </si>
  <si>
    <t>UAE0918</t>
  </si>
  <si>
    <t>A1 Tools FZE</t>
  </si>
  <si>
    <t>YellowPages UAE profile | landline_or_tollfree | https://www.yellowpages-uae.com/a1-tools-fze-180761</t>
  </si>
  <si>
    <t>UAE0919</t>
  </si>
  <si>
    <t>AAABC</t>
  </si>
  <si>
    <t>YellowPages UAE profile | landline_or_tollfree | https://www.yellowpages-uae.com/aaabc-185252</t>
  </si>
  <si>
    <t>UAE0920</t>
  </si>
  <si>
    <t>AAAP Business Services FZE</t>
  </si>
  <si>
    <t>YellowPages UAE profile | mobile | https://www.yellowpages-uae.com/aaap-business-services-fze-191165</t>
  </si>
  <si>
    <t>UAE0921</t>
  </si>
  <si>
    <t>AAB Electricals</t>
  </si>
  <si>
    <t>YellowPages UAE profile | mobile | https://www.yellowpages-uae.com/aab-electricals-170101</t>
  </si>
  <si>
    <t>UAE0922</t>
  </si>
  <si>
    <t>YellowPages UAE profile | landline_or_tollfree | https://www.yellowpages-uae.com/aab-electricals-170101</t>
  </si>
  <si>
    <t>UAE0923</t>
  </si>
  <si>
    <t>Aadiyogi FZC</t>
  </si>
  <si>
    <t>YellowPages UAE profile | mobile | https://www.yellowpages-uae.com/aadiyogi-fzc-190550</t>
  </si>
  <si>
    <t>UAE0924</t>
  </si>
  <si>
    <t>Aal Group Ltd</t>
  </si>
  <si>
    <t>YellowPages UAE profile | landline_or_tollfree | https://www.yellowpages-uae.com/aal-group-ltd-136303</t>
  </si>
  <si>
    <t>UAE0925</t>
  </si>
  <si>
    <t>Aal Mir Plastic Industries LLC</t>
  </si>
  <si>
    <t>YellowPages UAE profile | landline_or_tollfree | https://www.yellowpages-uae.com/aal-mir-plastic-industries-llc-120980</t>
  </si>
  <si>
    <t>UAE0926</t>
  </si>
  <si>
    <t>Aalmir Plastic Industries LLC</t>
  </si>
  <si>
    <t>YellowPages UAE profile | landline_or_tollfree | https://www.yellowpages-uae.com/aalmir-plastic-industries-llc-125968</t>
  </si>
  <si>
    <t>UAE0927</t>
  </si>
  <si>
    <t>Aaly Qadar Hardware &amp; Electric Ware LLC</t>
  </si>
  <si>
    <t>YellowPages UAE profile | mobile | https://www.yellowpages-uae.com/aaly-qadar-hardware-electric-ware-llc-186993</t>
  </si>
  <si>
    <t>UAE0928</t>
  </si>
  <si>
    <t>UAE0929</t>
  </si>
  <si>
    <t>Aamer And Amma Motors Middle East FZC</t>
  </si>
  <si>
    <t>YellowPages UAE profile | mobile | https://www.yellowpages-uae.com/aamer-and-amma-motors-middle-east-fzc-189511</t>
  </si>
  <si>
    <t>UAE0930</t>
  </si>
  <si>
    <t>YellowPages UAE profile | landline_or_tollfree | https://www.yellowpages-uae.com/aamer-and-amma-motors-middle-east-fzc-189511</t>
  </si>
  <si>
    <t>UAE0931</t>
  </si>
  <si>
    <t>Aarvi Encon Private Ltd</t>
  </si>
  <si>
    <t>YellowPages UAE profile | mobile | https://www.yellowpages-uae.com/aarvi-encon-private-ltd-103563</t>
  </si>
  <si>
    <t>UAE0932</t>
  </si>
  <si>
    <t>UAE0933</t>
  </si>
  <si>
    <t>Aarya Engineering FZC</t>
  </si>
  <si>
    <t>YellowPages UAE profile | mobile | https://www.yellowpages-uae.com/aarya-engineering-fzc-136237</t>
  </si>
  <si>
    <t>UAE0934</t>
  </si>
  <si>
    <t>AASA Group</t>
  </si>
  <si>
    <t>YellowPages UAE profile | landline_or_tollfree | https://www.yellowpages-uae.com/aasa-group-151843</t>
  </si>
  <si>
    <t>UAE0935</t>
  </si>
  <si>
    <t>Ab Alkhair Sona Grocery</t>
  </si>
  <si>
    <t>YellowPages UAE profile | mobile | https://www.yellowpages-uae.com/ab-alkhair-sona-grocery-166513</t>
  </si>
  <si>
    <t>UAE0936</t>
  </si>
  <si>
    <t>AB International FZE</t>
  </si>
  <si>
    <t>YellowPages UAE profile | landline_or_tollfree | https://www.yellowpages-uae.com/ab-international-fze-155575</t>
  </si>
  <si>
    <t>UAE0937</t>
  </si>
  <si>
    <t>Abacus IT Solutions FZE</t>
  </si>
  <si>
    <t>YellowPages UAE profile | mobile | https://www.yellowpages-uae.com/abacus-it-solutions-fze-148490</t>
  </si>
  <si>
    <t>UAE0938</t>
  </si>
  <si>
    <t>UAE0939</t>
  </si>
  <si>
    <t>YellowPages UAE profile | landline_or_tollfree | https://www.yellowpages-uae.com/abacus-it-solutions-fze-148490</t>
  </si>
  <si>
    <t>UAE0940</t>
  </si>
  <si>
    <t>Abad Al Shams Beauty Saloon</t>
  </si>
  <si>
    <t>YellowPages UAE profile | landline_or_tollfree | https://www.yellowpages-uae.com/abad-al-shams-beauty-saloon-169997</t>
  </si>
  <si>
    <t>UAE0941</t>
  </si>
  <si>
    <t>Abazar Hardware and Sanitary Trading</t>
  </si>
  <si>
    <t>YellowPages UAE profile | landline_or_tollfree | https://www.yellowpages-uae.com/abazar-hardware-and-sanitary-trading-135594</t>
  </si>
  <si>
    <t>UAE0942</t>
  </si>
  <si>
    <t>Abazar Trading LLC</t>
  </si>
  <si>
    <t>YellowPages UAE profile | landline_or_tollfree | https://www.yellowpages-uae.com/abazar-trading-llc-110183</t>
  </si>
  <si>
    <t>UAE0943</t>
  </si>
  <si>
    <t>Abba Events and Exhibitions LLC</t>
  </si>
  <si>
    <t>YellowPages UAE profile | mobile | https://www.yellowpages-uae.com/abba-events-and-exhibitions-llc-123435</t>
  </si>
  <si>
    <t>UAE0944</t>
  </si>
  <si>
    <t>UAE0945</t>
  </si>
  <si>
    <t>YellowPages UAE profile | landline_or_tollfree | https://www.yellowpages-uae.com/abba-events-and-exhibitions-llc-190977</t>
  </si>
  <si>
    <t>UAE0946</t>
  </si>
  <si>
    <t>YellowPages UAE profile | landline_or_tollfree | https://www.yellowpages-uae.com/abba-events-and-exhibitions-llc-123435</t>
  </si>
  <si>
    <t>UAE0947</t>
  </si>
  <si>
    <t>ABBA Manufacturing Ind LLC</t>
  </si>
  <si>
    <t>YellowPages UAE profile | landline_or_tollfree | https://www.yellowpages-uae.com/abba-manufacturing-ind-llc-192258</t>
  </si>
  <si>
    <t>UAE0948</t>
  </si>
  <si>
    <t>Abba Printing Press LLC</t>
  </si>
  <si>
    <t>YellowPages UAE profile | landline_or_tollfree | https://www.yellowpages-uae.com/abba-printing-press-llc-191762</t>
  </si>
  <si>
    <t>UAE0949</t>
  </si>
  <si>
    <t>Abbad Soil and Building Material Testing</t>
  </si>
  <si>
    <t>YellowPages UAE profile | mobile | https://www.yellowpages-uae.com/abbad-soil-and-building-material-testing-179601</t>
  </si>
  <si>
    <t>UAE0950</t>
  </si>
  <si>
    <t>YellowPages UAE profile | landline_or_tollfree | https://www.yellowpages-uae.com/abbad-soil-and-building-material-testing-179601</t>
  </si>
  <si>
    <t>UAE0951</t>
  </si>
  <si>
    <t>Abbar Group FZC</t>
  </si>
  <si>
    <t>YellowPages UAE profile | landline_or_tollfree | https://www.yellowpages-uae.com/abbar-group-fze-144467</t>
  </si>
  <si>
    <t>UAE0952</t>
  </si>
  <si>
    <t>Abbas Al Ramazan Supermarket</t>
  </si>
  <si>
    <t>YellowPages UAE profile | landline_or_tollfree | https://www.yellowpages-uae.com/abbas-al-ramazan-supermarket-166514</t>
  </si>
  <si>
    <t>UAE0953</t>
  </si>
  <si>
    <t>Abbas Ali Hardware &amp; Electric Ware Trading Est</t>
  </si>
  <si>
    <t>YellowPages UAE profile | mobile | https://www.yellowpages-uae.com/abbas-ali-hardware-trading-184377</t>
  </si>
  <si>
    <t>UAE0954</t>
  </si>
  <si>
    <t>UAE0955</t>
  </si>
  <si>
    <t>YellowPages UAE profile | landline_or_tollfree | https://www.yellowpages-uae.com/abbas-ali-hardware-trading-184377</t>
  </si>
  <si>
    <t>UAE0956</t>
  </si>
  <si>
    <t>ABC Ceramics</t>
  </si>
  <si>
    <t>YellowPages UAE profile | mobile | https://www.yellowpages-uae.com/abc-ceramics-181500</t>
  </si>
  <si>
    <t>UAE0957</t>
  </si>
  <si>
    <t>ABC Chemical Exports Pvt Limited</t>
  </si>
  <si>
    <t>YellowPages UAE profile | mobile | https://www.yellowpages-uae.com/abc-chemical-exports-pvt-limited-118939</t>
  </si>
  <si>
    <t>UAE0958</t>
  </si>
  <si>
    <t>YellowPages UAE profile | landline_or_tollfree | https://www.yellowpages-uae.com/abc-chemical-exports-pvt-limited-118939</t>
  </si>
  <si>
    <t>UAE0959</t>
  </si>
  <si>
    <t>ABC Freight Systems FZE</t>
  </si>
  <si>
    <t>YellowPages UAE profile | landline_or_tollfree | https://www.yellowpages-uae.com/abc-freight-systems-fze-164921</t>
  </si>
  <si>
    <t>UAE0960</t>
  </si>
  <si>
    <t>Abdelhadi Engineering and Contg Company LLC</t>
  </si>
  <si>
    <t>YellowPages UAE profile | landline_or_tollfree | https://www.yellowpages-uae.com/abdelhadi-engineering-and-contg-company-llc-110416</t>
  </si>
  <si>
    <t>UAE0961</t>
  </si>
  <si>
    <t>Abdelhamid &amp; Co Certified Public Accountants &amp; Auditors</t>
  </si>
  <si>
    <t>YellowPages UAE profile | mobile | https://www.yellowpages-uae.com/abdelhamid-company-certified-public-accountants-auditors-169016</t>
  </si>
  <si>
    <t>UAE0962</t>
  </si>
  <si>
    <t>YellowPages UAE profile | landline_or_tollfree | https://www.yellowpages-uae.com/abdelhamid-company-certified-public-accountants-auditors-169016</t>
  </si>
  <si>
    <t>UAE0963</t>
  </si>
  <si>
    <t>Abdul Aziz Bin Abdullatif Al Serkal Establishment</t>
  </si>
  <si>
    <t>YellowPages UAE profile | landline_or_tollfree | https://www.yellowpages-uae.com/abdul-aziz-bin-abdullatif-al-serkal-establishment-106001</t>
  </si>
  <si>
    <t>UAE0964</t>
  </si>
  <si>
    <t>Abdul Aziz Jassim Kashwami Establishment</t>
  </si>
  <si>
    <t>YellowPages UAE profile | landline_or_tollfree | https://www.yellowpages-uae.com/abdul-aziz-jassim-kashwami-establishment-172369</t>
  </si>
  <si>
    <t>UAE0965</t>
  </si>
  <si>
    <t>Abdul Aziz Mohd Al Suwaidi Transport Establishment</t>
  </si>
  <si>
    <t>YellowPages UAE profile | landline_or_tollfree | https://www.yellowpages-uae.com/abdul-aziz-mohd-al-suwaidi-transport-establishment-105279</t>
  </si>
  <si>
    <t>UAE0966</t>
  </si>
  <si>
    <t>Abdul Basit Farooq Auto Rep</t>
  </si>
  <si>
    <t>YellowPages UAE profile | mobile | https://www.yellowpages-uae.com/abdul-basit-farooq-auto-rep-190067</t>
  </si>
  <si>
    <t>UAE0967</t>
  </si>
  <si>
    <t>Abdul Ghani Medical Center</t>
  </si>
  <si>
    <t>YellowPages UAE profile | mobile | https://www.yellowpages-uae.com/abdul-ghani-medical-center-6011</t>
  </si>
  <si>
    <t>UAE0968</t>
  </si>
  <si>
    <t>YellowPages UAE profile | landline_or_tollfree | https://www.yellowpages-uae.com/abdul-ghani-medical-center-6011</t>
  </si>
  <si>
    <t>UAE0969</t>
  </si>
  <si>
    <t>Abdul Hameed Khouri Aluminium Glass Factory LLC</t>
  </si>
  <si>
    <t>YellowPages UAE profile | landline_or_tollfree | https://www.yellowpages-uae.com/abdul-hameed-khouri-aluminium-glass-factory-llc-112906</t>
  </si>
  <si>
    <t>UAE0970</t>
  </si>
  <si>
    <t>Abdul Karim Abdulla A/C and Refg Services</t>
  </si>
  <si>
    <t>YellowPages UAE profile | landline_or_tollfree | https://www.yellowpages-uae.com/abdul-karim-abdulla-a-c-and-refg-services-120062</t>
  </si>
  <si>
    <t>UAE0971</t>
  </si>
  <si>
    <t>Abdul Mannan Ahmed Auto Paints &amp; Glass Tr.</t>
  </si>
  <si>
    <t>YellowPages UAE profile | mobile | https://www.yellowpages-uae.com/abdul-mannan-ahmed-auto-paints-glass-tr-176671</t>
  </si>
  <si>
    <t>UAE0972</t>
  </si>
  <si>
    <t>UAE0973</t>
  </si>
  <si>
    <t>Abdul Rahim M A Al Zarooni General Trading</t>
  </si>
  <si>
    <t>YellowPages UAE profile | landline_or_tollfree | https://www.yellowpages-uae.com/abdul-rahim-m-a-al-zarooni-general-trading-105744</t>
  </si>
  <si>
    <t>UAE0974</t>
  </si>
  <si>
    <t>Abdul Rahman Al Bah Building Materials Trading Co LLC</t>
  </si>
  <si>
    <t>YellowPages UAE profile | mobile | https://www.yellowpages-uae.com/abdul-rahman-al-bah-bldg-mat-trdg-co-llc-151181</t>
  </si>
  <si>
    <t>UAE0975</t>
  </si>
  <si>
    <t>UAE0976</t>
  </si>
  <si>
    <t>YellowPages UAE profile | landline_or_tollfree | https://www.yellowpages-uae.com/abdul-rahman-al-bah-bldg-mat-trdg-co-llc-151181</t>
  </si>
  <si>
    <t>UAE0977</t>
  </si>
  <si>
    <t>Abdul Rahman Al Mouni Tyres Services</t>
  </si>
  <si>
    <t>YellowPages UAE profile | mobile | https://www.yellowpages-uae.com/abdul-rahman-al-mouni-tyres-services-123271</t>
  </si>
  <si>
    <t>UAE0978</t>
  </si>
  <si>
    <t>YellowPages UAE profile | landline_or_tollfree | https://www.yellowpages-uae.com/abdul-rahman-al-mouni-tyres-services-123271</t>
  </si>
  <si>
    <t>UAE0979</t>
  </si>
  <si>
    <t>Abdul Rahman Karrani &amp; Sons Co</t>
  </si>
  <si>
    <t>YellowPages UAE profile | landline_or_tollfree | https://www.yellowpages-uae.com/abdul-rahman-karrani-sons-co-148783</t>
  </si>
  <si>
    <t>UAE0980</t>
  </si>
  <si>
    <t>Abdul Razak Al Zarouni Chartered Accountants</t>
  </si>
  <si>
    <t>YellowPages UAE profile | landline_or_tollfree | https://www.yellowpages-uae.com/abdul-razak-al-zarouni-chartered-accountants-169835</t>
  </si>
  <si>
    <t>UAE0981</t>
  </si>
  <si>
    <t>Abdul Razak Haji Grocery LLC</t>
  </si>
  <si>
    <t>YellowPages UAE profile | landline_or_tollfree | https://www.yellowpages-uae.com/abdul-razak-haji-grocery-llc-166515</t>
  </si>
  <si>
    <t>UAE0982</t>
  </si>
  <si>
    <t>Abdul Razzaq Auto Glass</t>
  </si>
  <si>
    <t>YellowPages UAE profile | mobile | https://www.yellowpages-uae.com/abdul-razzaq-auto-glass-150001</t>
  </si>
  <si>
    <t>UAE0983</t>
  </si>
  <si>
    <t>Abdul Saeed Abdul Hameed Scrap Metal Alum and Copper Scrap Tr</t>
  </si>
  <si>
    <t>YellowPages UAE profile | mobile | https://www.yellowpages-uae.com/abdul-saeed-abdul-hameed-scrap-metal-alum-and-copper-scrap-tr-189176</t>
  </si>
  <si>
    <t>UAE0984</t>
  </si>
  <si>
    <t>UAE0985</t>
  </si>
  <si>
    <t>Anwar Al Bashaier Bldg Mat Tr Co LLC</t>
  </si>
  <si>
    <t>YellowPages UAE profile | mobile | https://www.yellowpages-uae.com/a-al-bashaier-trading-corp-116317</t>
  </si>
  <si>
    <t>UAE0986</t>
  </si>
  <si>
    <t>YellowPages UAE profile | landline_or_tollfree | https://www.yellowpages-uae.com/a-al-bashaier-trading-corp-116317</t>
  </si>
  <si>
    <t>UAE0987</t>
  </si>
  <si>
    <t>A-Test Group</t>
  </si>
  <si>
    <t>YellowPages UAE profile | landline_or_tollfree | https://www.yellowpages-uae.com/a-test-group-139586</t>
  </si>
  <si>
    <t>UAE0988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</si>
</sst>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473C5E-A6CD-4846-B23E-AE9AD558ECCC}" name="T_ZabayenSharjahVIP" displayName="T_ZabayenSharjahVIP" ref="A1:K109" totalsRowShown="0" headerRowDxfId="0">
  <autoFilter ref="A1:K109" xr:uid="{E8473C5E-A6CD-4846-B23E-AE9AD558ECCC}"/>
  <tableColumns count="11">
    <tableColumn id="1" xr3:uid="{1DEB0FD4-C896-4B62-A73E-38859D5CAC28}" name="date" dataDxfId="5"/>
    <tableColumn id="2" xr3:uid="{77097551-6574-4845-B7D9-9224C3428462}" name="lead_name" dataDxfId="4"/>
    <tableColumn id="3" xr3:uid="{2AA85E12-11E7-4763-B19B-E0ADE4A110B4}" name="business" dataDxfId="3"/>
    <tableColumn id="4" xr3:uid="{5F1109C3-C5A2-45CC-BBDC-CA050A49148B}" name="area" dataDxfId="1"/>
    <tableColumn id="5" xr3:uid="{A8E7E53D-3AF7-4A5F-A8AE-CF5CA8616C1C}" name="phone_or_link" dataDxfId="2"/>
    <tableColumn id="6" xr3:uid="{53DFDB59-63CC-4804-B3D9-F37166C836B6}" name="channel" dataDxfId="7"/>
    <tableColumn id="7" xr3:uid="{3F8EDEC2-0094-424B-AB50-0D2EBB9A8DC0}" name="status" dataDxfId="6"/>
    <tableColumn id="8" xr3:uid="{1DC2BC9C-E4E5-4295-BCF2-E36952BBDABD}" name="next_action"/>
    <tableColumn id="9" xr3:uid="{EFF2159D-79E9-414E-8BD4-6A38533236C8}" name="next_date" dataDxfId="8"/>
    <tableColumn id="10" xr3:uid="{92B38B2B-B43A-4A2B-A81B-A47C1921D5E7}" name="notes"/>
    <tableColumn id="11" xr3:uid="{F43A4C17-690E-430D-B21E-61B23B14E2BC}" name="lead_id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3C3-CBC4-40CF-AA74-C07BCE70AFF8}">
  <dimension ref="A1:K109"/>
  <sheetViews>
    <sheetView tabSelected="1" workbookViewId="0"/>
  </sheetViews>
  <sheetFormatPr defaultRowHeight="13.8" x14ac:dyDescent="0.25"/>
  <cols>
    <col min="1" max="1" width="10.09765625" style="2" bestFit="1" customWidth="1"/>
    <col min="2" max="3" width="56.296875" style="5" bestFit="1" customWidth="1"/>
    <col min="4" max="4" width="7.09765625" style="5" bestFit="1" customWidth="1"/>
    <col min="5" max="5" width="17.3984375" style="2" bestFit="1" customWidth="1"/>
    <col min="6" max="6" width="11.796875" style="2" bestFit="1" customWidth="1"/>
    <col min="7" max="7" width="10.19921875" style="2" bestFit="1" customWidth="1"/>
    <col min="8" max="8" width="30.796875" bestFit="1" customWidth="1"/>
    <col min="9" max="9" width="11.59765625" bestFit="1" customWidth="1"/>
    <col min="10" max="10" width="122.59765625" bestFit="1" customWidth="1"/>
    <col min="11" max="11" width="9.19921875" bestFit="1" customWidth="1"/>
  </cols>
  <sheetData>
    <row r="1" spans="1:11" s="8" customFormat="1" ht="25.0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x14ac:dyDescent="0.25">
      <c r="A2" s="3">
        <v>46086</v>
      </c>
      <c r="B2" s="5" t="s">
        <v>11</v>
      </c>
      <c r="C2" s="5" t="s">
        <v>11</v>
      </c>
      <c r="D2" s="5" t="s">
        <v>12</v>
      </c>
      <c r="E2" s="4" t="str">
        <f>"0097165538106"</f>
        <v>0097165538106</v>
      </c>
      <c r="F2" s="2" t="s">
        <v>13</v>
      </c>
      <c r="G2" s="2" t="s">
        <v>14</v>
      </c>
      <c r="H2" t="s">
        <v>15</v>
      </c>
      <c r="I2" s="1">
        <v>46086</v>
      </c>
      <c r="J2" t="s">
        <v>16</v>
      </c>
      <c r="K2" t="s">
        <v>17</v>
      </c>
    </row>
    <row r="3" spans="1:11" x14ac:dyDescent="0.25">
      <c r="A3" s="3">
        <v>46086</v>
      </c>
      <c r="B3" s="5" t="s">
        <v>11</v>
      </c>
      <c r="C3" s="5" t="s">
        <v>11</v>
      </c>
      <c r="D3" s="5" t="s">
        <v>12</v>
      </c>
      <c r="E3" s="4" t="str">
        <f>"0097165538136"</f>
        <v>0097165538136</v>
      </c>
      <c r="F3" s="2" t="s">
        <v>13</v>
      </c>
      <c r="G3" s="2" t="s">
        <v>14</v>
      </c>
      <c r="H3" t="s">
        <v>15</v>
      </c>
      <c r="I3" s="1">
        <v>46086</v>
      </c>
      <c r="J3" t="s">
        <v>16</v>
      </c>
      <c r="K3" t="s">
        <v>18</v>
      </c>
    </row>
    <row r="4" spans="1:11" x14ac:dyDescent="0.25">
      <c r="A4" s="3">
        <v>46086</v>
      </c>
      <c r="B4" s="5" t="s">
        <v>19</v>
      </c>
      <c r="C4" s="5" t="s">
        <v>19</v>
      </c>
      <c r="D4" s="5" t="s">
        <v>12</v>
      </c>
      <c r="E4" s="4" t="str">
        <f>"00971562108123"</f>
        <v>00971562108123</v>
      </c>
      <c r="F4" s="2" t="s">
        <v>13</v>
      </c>
      <c r="G4" s="2" t="s">
        <v>14</v>
      </c>
      <c r="H4" t="s">
        <v>15</v>
      </c>
      <c r="I4" s="1">
        <v>46086</v>
      </c>
      <c r="J4" t="s">
        <v>20</v>
      </c>
      <c r="K4" t="s">
        <v>21</v>
      </c>
    </row>
    <row r="5" spans="1:11" x14ac:dyDescent="0.25">
      <c r="A5" s="3">
        <v>46086</v>
      </c>
      <c r="B5" s="5" t="s">
        <v>19</v>
      </c>
      <c r="C5" s="5" t="s">
        <v>19</v>
      </c>
      <c r="D5" s="5" t="s">
        <v>12</v>
      </c>
      <c r="E5" s="4" t="str">
        <f>"0097165214555"</f>
        <v>0097165214555</v>
      </c>
      <c r="F5" s="2" t="s">
        <v>13</v>
      </c>
      <c r="G5" s="2" t="s">
        <v>14</v>
      </c>
      <c r="H5" t="s">
        <v>15</v>
      </c>
      <c r="I5" s="1">
        <v>46086</v>
      </c>
      <c r="J5" t="s">
        <v>22</v>
      </c>
      <c r="K5" t="s">
        <v>23</v>
      </c>
    </row>
    <row r="6" spans="1:11" x14ac:dyDescent="0.25">
      <c r="A6" s="3">
        <v>46086</v>
      </c>
      <c r="B6" s="5" t="s">
        <v>19</v>
      </c>
      <c r="C6" s="5" t="s">
        <v>19</v>
      </c>
      <c r="D6" s="5" t="s">
        <v>12</v>
      </c>
      <c r="E6" s="4" t="str">
        <f>"0097165349124"</f>
        <v>0097165349124</v>
      </c>
      <c r="F6" s="2" t="s">
        <v>13</v>
      </c>
      <c r="G6" s="2" t="s">
        <v>14</v>
      </c>
      <c r="H6" t="s">
        <v>15</v>
      </c>
      <c r="I6" s="1">
        <v>46086</v>
      </c>
      <c r="J6" t="s">
        <v>24</v>
      </c>
      <c r="K6" t="s">
        <v>25</v>
      </c>
    </row>
    <row r="7" spans="1:11" x14ac:dyDescent="0.25">
      <c r="A7" s="3">
        <v>46086</v>
      </c>
      <c r="B7" s="5" t="s">
        <v>26</v>
      </c>
      <c r="C7" s="5" t="s">
        <v>26</v>
      </c>
      <c r="D7" s="5" t="s">
        <v>12</v>
      </c>
      <c r="E7" s="4" t="str">
        <f>"0097165686151"</f>
        <v>0097165686151</v>
      </c>
      <c r="F7" s="2" t="s">
        <v>13</v>
      </c>
      <c r="G7" s="2" t="s">
        <v>14</v>
      </c>
      <c r="H7" t="s">
        <v>15</v>
      </c>
      <c r="I7" s="1">
        <v>46086</v>
      </c>
      <c r="J7" t="s">
        <v>27</v>
      </c>
      <c r="K7" t="s">
        <v>28</v>
      </c>
    </row>
    <row r="8" spans="1:11" x14ac:dyDescent="0.25">
      <c r="A8" s="3">
        <v>46086</v>
      </c>
      <c r="B8" s="5" t="s">
        <v>29</v>
      </c>
      <c r="C8" s="5" t="s">
        <v>29</v>
      </c>
      <c r="D8" s="5" t="s">
        <v>12</v>
      </c>
      <c r="E8" s="4" t="str">
        <f>"00971529878762"</f>
        <v>00971529878762</v>
      </c>
      <c r="F8" s="2" t="s">
        <v>13</v>
      </c>
      <c r="G8" s="2" t="s">
        <v>14</v>
      </c>
      <c r="H8" t="s">
        <v>15</v>
      </c>
      <c r="I8" s="1">
        <v>46086</v>
      </c>
      <c r="J8" t="s">
        <v>30</v>
      </c>
      <c r="K8" t="s">
        <v>31</v>
      </c>
    </row>
    <row r="9" spans="1:11" x14ac:dyDescent="0.25">
      <c r="A9" s="3">
        <v>46086</v>
      </c>
      <c r="B9" s="5" t="s">
        <v>32</v>
      </c>
      <c r="C9" s="5" t="s">
        <v>32</v>
      </c>
      <c r="D9" s="5" t="s">
        <v>12</v>
      </c>
      <c r="E9" s="4" t="str">
        <f>"00971556816835"</f>
        <v>00971556816835</v>
      </c>
      <c r="F9" s="2" t="s">
        <v>13</v>
      </c>
      <c r="G9" s="2" t="s">
        <v>14</v>
      </c>
      <c r="H9" t="s">
        <v>15</v>
      </c>
      <c r="I9" s="1">
        <v>46086</v>
      </c>
      <c r="J9" t="s">
        <v>33</v>
      </c>
      <c r="K9" t="s">
        <v>34</v>
      </c>
    </row>
    <row r="10" spans="1:11" x14ac:dyDescent="0.25">
      <c r="A10" s="3">
        <v>46086</v>
      </c>
      <c r="B10" s="5" t="s">
        <v>35</v>
      </c>
      <c r="C10" s="5" t="s">
        <v>35</v>
      </c>
      <c r="D10" s="5" t="s">
        <v>12</v>
      </c>
      <c r="E10" s="4" t="str">
        <f>"0097165570460"</f>
        <v>0097165570460</v>
      </c>
      <c r="F10" s="2" t="s">
        <v>13</v>
      </c>
      <c r="G10" s="2" t="s">
        <v>14</v>
      </c>
      <c r="H10" t="s">
        <v>15</v>
      </c>
      <c r="I10" s="1">
        <v>46086</v>
      </c>
      <c r="J10" t="s">
        <v>36</v>
      </c>
      <c r="K10" t="s">
        <v>37</v>
      </c>
    </row>
    <row r="11" spans="1:11" x14ac:dyDescent="0.25">
      <c r="A11" s="3">
        <v>46086</v>
      </c>
      <c r="B11" s="5" t="s">
        <v>38</v>
      </c>
      <c r="C11" s="5" t="s">
        <v>38</v>
      </c>
      <c r="D11" s="5" t="s">
        <v>12</v>
      </c>
      <c r="E11" s="4" t="str">
        <f>"0097165570383"</f>
        <v>0097165570383</v>
      </c>
      <c r="F11" s="2" t="s">
        <v>13</v>
      </c>
      <c r="G11" s="2" t="s">
        <v>14</v>
      </c>
      <c r="H11" t="s">
        <v>15</v>
      </c>
      <c r="I11" s="1">
        <v>46086</v>
      </c>
      <c r="J11" t="s">
        <v>39</v>
      </c>
      <c r="K11" t="s">
        <v>40</v>
      </c>
    </row>
    <row r="12" spans="1:11" x14ac:dyDescent="0.25">
      <c r="A12" s="3">
        <v>46086</v>
      </c>
      <c r="B12" s="5" t="s">
        <v>41</v>
      </c>
      <c r="C12" s="5" t="s">
        <v>41</v>
      </c>
      <c r="D12" s="5" t="s">
        <v>12</v>
      </c>
      <c r="E12" s="4" t="str">
        <f>"00971502296962"</f>
        <v>00971502296962</v>
      </c>
      <c r="F12" s="2" t="s">
        <v>13</v>
      </c>
      <c r="G12" s="2" t="s">
        <v>14</v>
      </c>
      <c r="H12" t="s">
        <v>15</v>
      </c>
      <c r="I12" s="1">
        <v>46086</v>
      </c>
      <c r="J12" t="s">
        <v>42</v>
      </c>
      <c r="K12" t="s">
        <v>43</v>
      </c>
    </row>
    <row r="13" spans="1:11" x14ac:dyDescent="0.25">
      <c r="A13" s="3">
        <v>46086</v>
      </c>
      <c r="B13" s="5" t="s">
        <v>41</v>
      </c>
      <c r="C13" s="5" t="s">
        <v>41</v>
      </c>
      <c r="D13" s="5" t="s">
        <v>12</v>
      </c>
      <c r="E13" s="4" t="str">
        <f>"0097165353462"</f>
        <v>0097165353462</v>
      </c>
      <c r="F13" s="2" t="s">
        <v>13</v>
      </c>
      <c r="G13" s="2" t="s">
        <v>14</v>
      </c>
      <c r="H13" t="s">
        <v>15</v>
      </c>
      <c r="I13" s="1">
        <v>46086</v>
      </c>
      <c r="J13" t="s">
        <v>44</v>
      </c>
      <c r="K13" t="s">
        <v>45</v>
      </c>
    </row>
    <row r="14" spans="1:11" x14ac:dyDescent="0.25">
      <c r="A14" s="3">
        <v>46086</v>
      </c>
      <c r="B14" s="5" t="s">
        <v>46</v>
      </c>
      <c r="C14" s="5" t="s">
        <v>46</v>
      </c>
      <c r="D14" s="5" t="s">
        <v>12</v>
      </c>
      <c r="E14" s="4" t="str">
        <f>"0097165579579"</f>
        <v>0097165579579</v>
      </c>
      <c r="F14" s="2" t="s">
        <v>13</v>
      </c>
      <c r="G14" s="2" t="s">
        <v>14</v>
      </c>
      <c r="H14" t="s">
        <v>15</v>
      </c>
      <c r="I14" s="1">
        <v>46086</v>
      </c>
      <c r="J14" t="s">
        <v>47</v>
      </c>
      <c r="K14" t="s">
        <v>48</v>
      </c>
    </row>
    <row r="15" spans="1:11" x14ac:dyDescent="0.25">
      <c r="A15" s="3">
        <v>46086</v>
      </c>
      <c r="B15" s="5" t="s">
        <v>49</v>
      </c>
      <c r="C15" s="5" t="s">
        <v>49</v>
      </c>
      <c r="D15" s="5" t="s">
        <v>12</v>
      </c>
      <c r="E15" s="4" t="str">
        <f>"0097165433224"</f>
        <v>0097165433224</v>
      </c>
      <c r="F15" s="2" t="s">
        <v>13</v>
      </c>
      <c r="G15" s="2" t="s">
        <v>14</v>
      </c>
      <c r="H15" t="s">
        <v>15</v>
      </c>
      <c r="I15" s="1">
        <v>46086</v>
      </c>
      <c r="J15" t="s">
        <v>50</v>
      </c>
      <c r="K15" t="s">
        <v>51</v>
      </c>
    </row>
    <row r="16" spans="1:11" x14ac:dyDescent="0.25">
      <c r="A16" s="3">
        <v>46086</v>
      </c>
      <c r="B16" s="5" t="s">
        <v>52</v>
      </c>
      <c r="C16" s="5" t="s">
        <v>52</v>
      </c>
      <c r="D16" s="5" t="s">
        <v>12</v>
      </c>
      <c r="E16" s="4" t="str">
        <f>"00971565997738"</f>
        <v>00971565997738</v>
      </c>
      <c r="F16" s="2" t="s">
        <v>13</v>
      </c>
      <c r="G16" s="2" t="s">
        <v>14</v>
      </c>
      <c r="H16" t="s">
        <v>15</v>
      </c>
      <c r="I16" s="1">
        <v>46086</v>
      </c>
      <c r="J16" t="s">
        <v>53</v>
      </c>
      <c r="K16" t="s">
        <v>54</v>
      </c>
    </row>
    <row r="17" spans="1:11" x14ac:dyDescent="0.25">
      <c r="A17" s="3">
        <v>46086</v>
      </c>
      <c r="B17" s="5" t="s">
        <v>52</v>
      </c>
      <c r="C17" s="5" t="s">
        <v>52</v>
      </c>
      <c r="D17" s="5" t="s">
        <v>12</v>
      </c>
      <c r="E17" s="4" t="str">
        <f>"0097165422232"</f>
        <v>0097165422232</v>
      </c>
      <c r="F17" s="2" t="s">
        <v>13</v>
      </c>
      <c r="G17" s="2" t="s">
        <v>14</v>
      </c>
      <c r="H17" t="s">
        <v>15</v>
      </c>
      <c r="I17" s="1">
        <v>46086</v>
      </c>
      <c r="J17" t="s">
        <v>55</v>
      </c>
      <c r="K17" t="s">
        <v>56</v>
      </c>
    </row>
    <row r="18" spans="1:11" x14ac:dyDescent="0.25">
      <c r="A18" s="3">
        <v>46086</v>
      </c>
      <c r="B18" s="5" t="s">
        <v>57</v>
      </c>
      <c r="C18" s="5" t="s">
        <v>57</v>
      </c>
      <c r="D18" s="5" t="s">
        <v>12</v>
      </c>
      <c r="E18" s="4" t="str">
        <f>"00971502877001"</f>
        <v>00971502877001</v>
      </c>
      <c r="F18" s="2" t="s">
        <v>13</v>
      </c>
      <c r="G18" s="2" t="s">
        <v>14</v>
      </c>
      <c r="H18" t="s">
        <v>15</v>
      </c>
      <c r="I18" s="1">
        <v>46086</v>
      </c>
      <c r="J18" t="s">
        <v>58</v>
      </c>
      <c r="K18" t="s">
        <v>59</v>
      </c>
    </row>
    <row r="19" spans="1:11" x14ac:dyDescent="0.25">
      <c r="A19" s="3">
        <v>46086</v>
      </c>
      <c r="B19" s="5" t="s">
        <v>60</v>
      </c>
      <c r="C19" s="5" t="s">
        <v>60</v>
      </c>
      <c r="D19" s="5" t="s">
        <v>12</v>
      </c>
      <c r="E19" s="4" t="str">
        <f>"0097165661197"</f>
        <v>0097165661197</v>
      </c>
      <c r="F19" s="2" t="s">
        <v>13</v>
      </c>
      <c r="G19" s="2" t="s">
        <v>14</v>
      </c>
      <c r="H19" t="s">
        <v>15</v>
      </c>
      <c r="I19" s="1">
        <v>46086</v>
      </c>
      <c r="J19" t="s">
        <v>61</v>
      </c>
      <c r="K19" t="s">
        <v>62</v>
      </c>
    </row>
    <row r="20" spans="1:11" x14ac:dyDescent="0.25">
      <c r="A20" s="3">
        <v>46086</v>
      </c>
      <c r="B20" s="5" t="s">
        <v>63</v>
      </c>
      <c r="C20" s="5" t="s">
        <v>63</v>
      </c>
      <c r="D20" s="5" t="s">
        <v>12</v>
      </c>
      <c r="E20" s="4" t="str">
        <f>"0097165658008"</f>
        <v>0097165658008</v>
      </c>
      <c r="F20" s="2" t="s">
        <v>13</v>
      </c>
      <c r="G20" s="2" t="s">
        <v>14</v>
      </c>
      <c r="H20" t="s">
        <v>15</v>
      </c>
      <c r="I20" s="1">
        <v>46086</v>
      </c>
      <c r="J20" t="s">
        <v>64</v>
      </c>
      <c r="K20" t="s">
        <v>65</v>
      </c>
    </row>
    <row r="21" spans="1:11" x14ac:dyDescent="0.25">
      <c r="A21" s="3">
        <v>46086</v>
      </c>
      <c r="B21" s="5" t="s">
        <v>66</v>
      </c>
      <c r="C21" s="5" t="s">
        <v>66</v>
      </c>
      <c r="D21" s="5" t="s">
        <v>12</v>
      </c>
      <c r="E21" s="4" t="str">
        <f>"0097165578676"</f>
        <v>0097165578676</v>
      </c>
      <c r="F21" s="2" t="s">
        <v>13</v>
      </c>
      <c r="G21" s="2" t="s">
        <v>14</v>
      </c>
      <c r="H21" t="s">
        <v>15</v>
      </c>
      <c r="I21" s="1">
        <v>46086</v>
      </c>
      <c r="J21" t="s">
        <v>67</v>
      </c>
      <c r="K21" t="s">
        <v>68</v>
      </c>
    </row>
    <row r="22" spans="1:11" x14ac:dyDescent="0.25">
      <c r="A22" s="3">
        <v>46086</v>
      </c>
      <c r="B22" s="5" t="s">
        <v>69</v>
      </c>
      <c r="C22" s="5" t="s">
        <v>69</v>
      </c>
      <c r="D22" s="5" t="s">
        <v>12</v>
      </c>
      <c r="E22" s="4" t="str">
        <f>"0097165528530"</f>
        <v>0097165528530</v>
      </c>
      <c r="F22" s="2" t="s">
        <v>13</v>
      </c>
      <c r="G22" s="2" t="s">
        <v>14</v>
      </c>
      <c r="H22" t="s">
        <v>15</v>
      </c>
      <c r="I22" s="1">
        <v>46086</v>
      </c>
      <c r="J22" t="s">
        <v>70</v>
      </c>
      <c r="K22" t="s">
        <v>71</v>
      </c>
    </row>
    <row r="23" spans="1:11" x14ac:dyDescent="0.25">
      <c r="A23" s="3">
        <v>46086</v>
      </c>
      <c r="B23" s="5" t="s">
        <v>72</v>
      </c>
      <c r="C23" s="5" t="s">
        <v>72</v>
      </c>
      <c r="D23" s="5" t="s">
        <v>12</v>
      </c>
      <c r="E23" s="4" t="str">
        <f>"0097165586615"</f>
        <v>0097165586615</v>
      </c>
      <c r="F23" s="2" t="s">
        <v>13</v>
      </c>
      <c r="G23" s="2" t="s">
        <v>14</v>
      </c>
      <c r="H23" t="s">
        <v>15</v>
      </c>
      <c r="I23" s="1">
        <v>46086</v>
      </c>
      <c r="J23" t="s">
        <v>73</v>
      </c>
      <c r="K23" t="s">
        <v>74</v>
      </c>
    </row>
    <row r="24" spans="1:11" x14ac:dyDescent="0.25">
      <c r="A24" s="3">
        <v>46086</v>
      </c>
      <c r="B24" s="5" t="s">
        <v>75</v>
      </c>
      <c r="C24" s="5" t="s">
        <v>75</v>
      </c>
      <c r="D24" s="5" t="s">
        <v>12</v>
      </c>
      <c r="E24" s="4" t="str">
        <f>"0097165616839"</f>
        <v>0097165616839</v>
      </c>
      <c r="F24" s="2" t="s">
        <v>13</v>
      </c>
      <c r="G24" s="2" t="s">
        <v>14</v>
      </c>
      <c r="H24" t="s">
        <v>15</v>
      </c>
      <c r="I24" s="1">
        <v>46086</v>
      </c>
      <c r="J24" t="s">
        <v>76</v>
      </c>
      <c r="K24" t="s">
        <v>77</v>
      </c>
    </row>
    <row r="25" spans="1:11" x14ac:dyDescent="0.25">
      <c r="A25" s="3">
        <v>46086</v>
      </c>
      <c r="B25" s="5" t="s">
        <v>78</v>
      </c>
      <c r="C25" s="5" t="s">
        <v>78</v>
      </c>
      <c r="D25" s="5" t="s">
        <v>12</v>
      </c>
      <c r="E25" s="4" t="str">
        <f>"0097165435751"</f>
        <v>0097165435751</v>
      </c>
      <c r="F25" s="2" t="s">
        <v>13</v>
      </c>
      <c r="G25" s="2" t="s">
        <v>14</v>
      </c>
      <c r="H25" t="s">
        <v>15</v>
      </c>
      <c r="I25" s="1">
        <v>46086</v>
      </c>
      <c r="J25" t="s">
        <v>79</v>
      </c>
      <c r="K25" t="s">
        <v>80</v>
      </c>
    </row>
    <row r="26" spans="1:11" x14ac:dyDescent="0.25">
      <c r="A26" s="3">
        <v>46086</v>
      </c>
      <c r="B26" s="5" t="s">
        <v>81</v>
      </c>
      <c r="C26" s="5" t="s">
        <v>81</v>
      </c>
      <c r="D26" s="5" t="s">
        <v>12</v>
      </c>
      <c r="E26" s="4" t="str">
        <f>"0097165617788"</f>
        <v>0097165617788</v>
      </c>
      <c r="F26" s="2" t="s">
        <v>13</v>
      </c>
      <c r="G26" s="2" t="s">
        <v>14</v>
      </c>
      <c r="H26" t="s">
        <v>15</v>
      </c>
      <c r="I26" s="1">
        <v>46086</v>
      </c>
      <c r="J26" t="s">
        <v>82</v>
      </c>
      <c r="K26" t="s">
        <v>83</v>
      </c>
    </row>
    <row r="27" spans="1:11" x14ac:dyDescent="0.25">
      <c r="A27" s="3">
        <v>46086</v>
      </c>
      <c r="B27" s="5" t="s">
        <v>84</v>
      </c>
      <c r="C27" s="5" t="s">
        <v>84</v>
      </c>
      <c r="D27" s="5" t="s">
        <v>12</v>
      </c>
      <c r="E27" s="4" t="str">
        <f>"0097165314212"</f>
        <v>0097165314212</v>
      </c>
      <c r="F27" s="2" t="s">
        <v>13</v>
      </c>
      <c r="G27" s="2" t="s">
        <v>14</v>
      </c>
      <c r="H27" t="s">
        <v>15</v>
      </c>
      <c r="I27" s="1">
        <v>46086</v>
      </c>
      <c r="J27" t="s">
        <v>85</v>
      </c>
      <c r="K27" t="s">
        <v>86</v>
      </c>
    </row>
    <row r="28" spans="1:11" x14ac:dyDescent="0.25">
      <c r="A28" s="3">
        <v>46086</v>
      </c>
      <c r="B28" s="5" t="s">
        <v>87</v>
      </c>
      <c r="C28" s="5" t="s">
        <v>87</v>
      </c>
      <c r="D28" s="5" t="s">
        <v>12</v>
      </c>
      <c r="E28" s="4" t="str">
        <f>"0097165444400"</f>
        <v>0097165444400</v>
      </c>
      <c r="F28" s="2" t="s">
        <v>13</v>
      </c>
      <c r="G28" s="2" t="s">
        <v>14</v>
      </c>
      <c r="H28" t="s">
        <v>15</v>
      </c>
      <c r="I28" s="1">
        <v>46086</v>
      </c>
      <c r="J28" t="s">
        <v>88</v>
      </c>
      <c r="K28" t="s">
        <v>89</v>
      </c>
    </row>
    <row r="29" spans="1:11" x14ac:dyDescent="0.25">
      <c r="A29" s="3">
        <v>46086</v>
      </c>
      <c r="B29" s="5" t="s">
        <v>90</v>
      </c>
      <c r="C29" s="5" t="s">
        <v>90</v>
      </c>
      <c r="D29" s="5" t="s">
        <v>12</v>
      </c>
      <c r="E29" s="4" t="str">
        <f>"0097165755786"</f>
        <v>0097165755786</v>
      </c>
      <c r="F29" s="2" t="s">
        <v>13</v>
      </c>
      <c r="G29" s="2" t="s">
        <v>14</v>
      </c>
      <c r="H29" t="s">
        <v>15</v>
      </c>
      <c r="I29" s="1">
        <v>46086</v>
      </c>
      <c r="J29" t="s">
        <v>91</v>
      </c>
      <c r="K29" t="s">
        <v>92</v>
      </c>
    </row>
    <row r="30" spans="1:11" x14ac:dyDescent="0.25">
      <c r="A30" s="3">
        <v>46086</v>
      </c>
      <c r="B30" s="5" t="s">
        <v>93</v>
      </c>
      <c r="C30" s="5" t="s">
        <v>93</v>
      </c>
      <c r="D30" s="5" t="s">
        <v>12</v>
      </c>
      <c r="E30" s="4" t="str">
        <f>"00971503025706"</f>
        <v>00971503025706</v>
      </c>
      <c r="F30" s="2" t="s">
        <v>13</v>
      </c>
      <c r="G30" s="2" t="s">
        <v>14</v>
      </c>
      <c r="H30" t="s">
        <v>15</v>
      </c>
      <c r="I30" s="1">
        <v>46086</v>
      </c>
      <c r="J30" t="s">
        <v>94</v>
      </c>
      <c r="K30" t="s">
        <v>95</v>
      </c>
    </row>
    <row r="31" spans="1:11" x14ac:dyDescent="0.25">
      <c r="A31" s="3">
        <v>46086</v>
      </c>
      <c r="B31" s="5" t="s">
        <v>96</v>
      </c>
      <c r="C31" s="5" t="s">
        <v>96</v>
      </c>
      <c r="D31" s="5" t="s">
        <v>12</v>
      </c>
      <c r="E31" s="4" t="str">
        <f>"0097165432657"</f>
        <v>0097165432657</v>
      </c>
      <c r="F31" s="2" t="s">
        <v>13</v>
      </c>
      <c r="G31" s="2" t="s">
        <v>14</v>
      </c>
      <c r="H31" t="s">
        <v>15</v>
      </c>
      <c r="I31" s="1">
        <v>46086</v>
      </c>
      <c r="J31" t="s">
        <v>97</v>
      </c>
      <c r="K31" t="s">
        <v>98</v>
      </c>
    </row>
    <row r="32" spans="1:11" x14ac:dyDescent="0.25">
      <c r="A32" s="3">
        <v>46086</v>
      </c>
      <c r="B32" s="5" t="s">
        <v>99</v>
      </c>
      <c r="C32" s="5" t="s">
        <v>99</v>
      </c>
      <c r="D32" s="5" t="s">
        <v>12</v>
      </c>
      <c r="E32" s="4" t="str">
        <f>"0097165456161"</f>
        <v>0097165456161</v>
      </c>
      <c r="F32" s="2" t="s">
        <v>13</v>
      </c>
      <c r="G32" s="2" t="s">
        <v>14</v>
      </c>
      <c r="H32" t="s">
        <v>15</v>
      </c>
      <c r="I32" s="1">
        <v>46086</v>
      </c>
      <c r="J32" t="s">
        <v>100</v>
      </c>
      <c r="K32" t="s">
        <v>101</v>
      </c>
    </row>
    <row r="33" spans="1:11" x14ac:dyDescent="0.25">
      <c r="A33" s="3">
        <v>46086</v>
      </c>
      <c r="B33" s="5" t="s">
        <v>102</v>
      </c>
      <c r="C33" s="5" t="s">
        <v>102</v>
      </c>
      <c r="D33" s="5" t="s">
        <v>12</v>
      </c>
      <c r="E33" s="4" t="str">
        <f>"0097165311139"</f>
        <v>0097165311139</v>
      </c>
      <c r="F33" s="2" t="s">
        <v>13</v>
      </c>
      <c r="G33" s="2" t="s">
        <v>14</v>
      </c>
      <c r="H33" t="s">
        <v>15</v>
      </c>
      <c r="I33" s="1">
        <v>46086</v>
      </c>
      <c r="J33" t="s">
        <v>103</v>
      </c>
      <c r="K33" t="s">
        <v>104</v>
      </c>
    </row>
    <row r="34" spans="1:11" x14ac:dyDescent="0.25">
      <c r="A34" s="3">
        <v>46086</v>
      </c>
      <c r="B34" s="5" t="s">
        <v>105</v>
      </c>
      <c r="C34" s="5" t="s">
        <v>105</v>
      </c>
      <c r="D34" s="5" t="s">
        <v>12</v>
      </c>
      <c r="E34" s="4" t="str">
        <f>"0097145837990"</f>
        <v>0097145837990</v>
      </c>
      <c r="F34" s="2" t="s">
        <v>13</v>
      </c>
      <c r="G34" s="2" t="s">
        <v>14</v>
      </c>
      <c r="H34" t="s">
        <v>15</v>
      </c>
      <c r="I34" s="1">
        <v>46086</v>
      </c>
      <c r="J34" t="s">
        <v>106</v>
      </c>
      <c r="K34" t="s">
        <v>107</v>
      </c>
    </row>
    <row r="35" spans="1:11" x14ac:dyDescent="0.25">
      <c r="A35" s="3">
        <v>46086</v>
      </c>
      <c r="B35" s="5" t="s">
        <v>105</v>
      </c>
      <c r="C35" s="5" t="s">
        <v>105</v>
      </c>
      <c r="D35" s="5" t="s">
        <v>12</v>
      </c>
      <c r="E35" s="4" t="str">
        <f>"00971569165750"</f>
        <v>00971569165750</v>
      </c>
      <c r="F35" s="2" t="s">
        <v>13</v>
      </c>
      <c r="G35" s="2" t="s">
        <v>14</v>
      </c>
      <c r="H35" t="s">
        <v>15</v>
      </c>
      <c r="I35" s="1">
        <v>46086</v>
      </c>
      <c r="J35" t="s">
        <v>108</v>
      </c>
      <c r="K35" t="s">
        <v>109</v>
      </c>
    </row>
    <row r="36" spans="1:11" x14ac:dyDescent="0.25">
      <c r="A36" s="3">
        <v>46086</v>
      </c>
      <c r="B36" s="5" t="s">
        <v>110</v>
      </c>
      <c r="C36" s="5" t="s">
        <v>110</v>
      </c>
      <c r="D36" s="5" t="s">
        <v>12</v>
      </c>
      <c r="E36" s="4" t="str">
        <f>"0097165324724"</f>
        <v>0097165324724</v>
      </c>
      <c r="F36" s="2" t="s">
        <v>13</v>
      </c>
      <c r="G36" s="2" t="s">
        <v>14</v>
      </c>
      <c r="H36" t="s">
        <v>15</v>
      </c>
      <c r="I36" s="1">
        <v>46086</v>
      </c>
      <c r="J36" t="s">
        <v>111</v>
      </c>
      <c r="K36" t="s">
        <v>112</v>
      </c>
    </row>
    <row r="37" spans="1:11" x14ac:dyDescent="0.25">
      <c r="A37" s="3">
        <v>46086</v>
      </c>
      <c r="B37" s="5" t="s">
        <v>113</v>
      </c>
      <c r="C37" s="5" t="s">
        <v>113</v>
      </c>
      <c r="D37" s="5" t="s">
        <v>12</v>
      </c>
      <c r="E37" s="4" t="str">
        <f>"00971502152960"</f>
        <v>00971502152960</v>
      </c>
      <c r="F37" s="2" t="s">
        <v>13</v>
      </c>
      <c r="G37" s="2" t="s">
        <v>14</v>
      </c>
      <c r="H37" t="s">
        <v>15</v>
      </c>
      <c r="I37" s="1">
        <v>46086</v>
      </c>
      <c r="J37" t="s">
        <v>114</v>
      </c>
      <c r="K37" t="s">
        <v>115</v>
      </c>
    </row>
    <row r="38" spans="1:11" x14ac:dyDescent="0.25">
      <c r="A38" s="3">
        <v>46086</v>
      </c>
      <c r="B38" s="5" t="s">
        <v>113</v>
      </c>
      <c r="C38" s="5" t="s">
        <v>113</v>
      </c>
      <c r="D38" s="5" t="s">
        <v>12</v>
      </c>
      <c r="E38" s="4" t="str">
        <f>"0097165570560"</f>
        <v>0097165570560</v>
      </c>
      <c r="F38" s="2" t="s">
        <v>13</v>
      </c>
      <c r="G38" s="2" t="s">
        <v>14</v>
      </c>
      <c r="H38" t="s">
        <v>15</v>
      </c>
      <c r="I38" s="1">
        <v>46086</v>
      </c>
      <c r="J38" t="s">
        <v>116</v>
      </c>
      <c r="K38" t="s">
        <v>117</v>
      </c>
    </row>
    <row r="39" spans="1:11" x14ac:dyDescent="0.25">
      <c r="A39" s="3">
        <v>46086</v>
      </c>
      <c r="B39" s="5" t="s">
        <v>118</v>
      </c>
      <c r="C39" s="5" t="s">
        <v>118</v>
      </c>
      <c r="D39" s="5" t="s">
        <v>12</v>
      </c>
      <c r="E39" s="4" t="str">
        <f>"00971509888650"</f>
        <v>00971509888650</v>
      </c>
      <c r="F39" s="2" t="s">
        <v>13</v>
      </c>
      <c r="G39" s="2" t="s">
        <v>14</v>
      </c>
      <c r="H39" t="s">
        <v>15</v>
      </c>
      <c r="I39" s="1">
        <v>46086</v>
      </c>
      <c r="J39" t="s">
        <v>119</v>
      </c>
      <c r="K39" t="s">
        <v>120</v>
      </c>
    </row>
    <row r="40" spans="1:11" x14ac:dyDescent="0.25">
      <c r="A40" s="3">
        <v>46086</v>
      </c>
      <c r="B40" s="5" t="s">
        <v>121</v>
      </c>
      <c r="C40" s="5" t="s">
        <v>121</v>
      </c>
      <c r="D40" s="5" t="s">
        <v>12</v>
      </c>
      <c r="E40" s="4" t="str">
        <f>"0097165526094"</f>
        <v>0097165526094</v>
      </c>
      <c r="F40" s="2" t="s">
        <v>13</v>
      </c>
      <c r="G40" s="2" t="s">
        <v>14</v>
      </c>
      <c r="H40" t="s">
        <v>15</v>
      </c>
      <c r="I40" s="1">
        <v>46086</v>
      </c>
      <c r="J40" t="s">
        <v>122</v>
      </c>
      <c r="K40" t="s">
        <v>123</v>
      </c>
    </row>
    <row r="41" spans="1:11" x14ac:dyDescent="0.25">
      <c r="A41" s="3">
        <v>46086</v>
      </c>
      <c r="B41" s="5" t="s">
        <v>124</v>
      </c>
      <c r="C41" s="5" t="s">
        <v>124</v>
      </c>
      <c r="D41" s="5" t="s">
        <v>12</v>
      </c>
      <c r="E41" s="4" t="str">
        <f>"0097165323080"</f>
        <v>0097165323080</v>
      </c>
      <c r="F41" s="2" t="s">
        <v>13</v>
      </c>
      <c r="G41" s="2" t="s">
        <v>14</v>
      </c>
      <c r="H41" t="s">
        <v>15</v>
      </c>
      <c r="I41" s="1">
        <v>46086</v>
      </c>
      <c r="J41" t="s">
        <v>125</v>
      </c>
      <c r="K41" t="s">
        <v>126</v>
      </c>
    </row>
    <row r="42" spans="1:11" x14ac:dyDescent="0.25">
      <c r="A42" s="3">
        <v>46086</v>
      </c>
      <c r="B42" s="5" t="s">
        <v>127</v>
      </c>
      <c r="C42" s="5" t="s">
        <v>127</v>
      </c>
      <c r="D42" s="5" t="s">
        <v>12</v>
      </c>
      <c r="E42" s="4" t="str">
        <f>"00971589267740"</f>
        <v>00971589267740</v>
      </c>
      <c r="F42" s="2" t="s">
        <v>13</v>
      </c>
      <c r="G42" s="2" t="s">
        <v>14</v>
      </c>
      <c r="H42" t="s">
        <v>15</v>
      </c>
      <c r="I42" s="1">
        <v>46086</v>
      </c>
      <c r="J42" t="s">
        <v>128</v>
      </c>
      <c r="K42" t="s">
        <v>129</v>
      </c>
    </row>
    <row r="43" spans="1:11" x14ac:dyDescent="0.25">
      <c r="A43" s="3">
        <v>46086</v>
      </c>
      <c r="B43" s="5" t="s">
        <v>130</v>
      </c>
      <c r="C43" s="5" t="s">
        <v>130</v>
      </c>
      <c r="D43" s="5" t="s">
        <v>12</v>
      </c>
      <c r="E43" s="4" t="str">
        <f>"00971508577954"</f>
        <v>00971508577954</v>
      </c>
      <c r="F43" s="2" t="s">
        <v>13</v>
      </c>
      <c r="G43" s="2" t="s">
        <v>14</v>
      </c>
      <c r="H43" t="s">
        <v>15</v>
      </c>
      <c r="I43" s="1">
        <v>46086</v>
      </c>
      <c r="J43" t="s">
        <v>131</v>
      </c>
      <c r="K43" t="s">
        <v>132</v>
      </c>
    </row>
    <row r="44" spans="1:11" x14ac:dyDescent="0.25">
      <c r="A44" s="3">
        <v>46086</v>
      </c>
      <c r="B44" s="5" t="s">
        <v>130</v>
      </c>
      <c r="C44" s="5" t="s">
        <v>130</v>
      </c>
      <c r="D44" s="5" t="s">
        <v>12</v>
      </c>
      <c r="E44" s="4" t="str">
        <f>"0097165210352"</f>
        <v>0097165210352</v>
      </c>
      <c r="F44" s="2" t="s">
        <v>13</v>
      </c>
      <c r="G44" s="2" t="s">
        <v>14</v>
      </c>
      <c r="H44" t="s">
        <v>15</v>
      </c>
      <c r="I44" s="1">
        <v>46086</v>
      </c>
      <c r="J44" t="s">
        <v>133</v>
      </c>
      <c r="K44" t="s">
        <v>134</v>
      </c>
    </row>
    <row r="45" spans="1:11" x14ac:dyDescent="0.25">
      <c r="A45" s="3">
        <v>46086</v>
      </c>
      <c r="B45" s="5" t="s">
        <v>135</v>
      </c>
      <c r="C45" s="5" t="s">
        <v>135</v>
      </c>
      <c r="D45" s="5" t="s">
        <v>12</v>
      </c>
      <c r="E45" s="4" t="str">
        <f>"00971506710872"</f>
        <v>00971506710872</v>
      </c>
      <c r="F45" s="2" t="s">
        <v>13</v>
      </c>
      <c r="G45" s="2" t="s">
        <v>14</v>
      </c>
      <c r="H45" t="s">
        <v>15</v>
      </c>
      <c r="I45" s="1">
        <v>46086</v>
      </c>
      <c r="J45" t="s">
        <v>136</v>
      </c>
      <c r="K45" t="s">
        <v>137</v>
      </c>
    </row>
    <row r="46" spans="1:11" x14ac:dyDescent="0.25">
      <c r="A46" s="3">
        <v>46086</v>
      </c>
      <c r="B46" s="5" t="s">
        <v>138</v>
      </c>
      <c r="C46" s="5" t="s">
        <v>138</v>
      </c>
      <c r="D46" s="5" t="s">
        <v>12</v>
      </c>
      <c r="E46" s="4" t="str">
        <f>"0097165570713"</f>
        <v>0097165570713</v>
      </c>
      <c r="F46" s="2" t="s">
        <v>13</v>
      </c>
      <c r="G46" s="2" t="s">
        <v>14</v>
      </c>
      <c r="H46" t="s">
        <v>15</v>
      </c>
      <c r="I46" s="1">
        <v>46086</v>
      </c>
      <c r="J46" t="s">
        <v>139</v>
      </c>
      <c r="K46" t="s">
        <v>140</v>
      </c>
    </row>
    <row r="47" spans="1:11" x14ac:dyDescent="0.25">
      <c r="A47" s="3">
        <v>46086</v>
      </c>
      <c r="B47" s="5" t="s">
        <v>141</v>
      </c>
      <c r="C47" s="5" t="s">
        <v>141</v>
      </c>
      <c r="D47" s="5" t="s">
        <v>12</v>
      </c>
      <c r="E47" s="4" t="str">
        <f>"0097165342603"</f>
        <v>0097165342603</v>
      </c>
      <c r="F47" s="2" t="s">
        <v>13</v>
      </c>
      <c r="G47" s="2" t="s">
        <v>14</v>
      </c>
      <c r="H47" t="s">
        <v>15</v>
      </c>
      <c r="I47" s="1">
        <v>46086</v>
      </c>
      <c r="J47" t="s">
        <v>142</v>
      </c>
      <c r="K47" t="s">
        <v>143</v>
      </c>
    </row>
    <row r="48" spans="1:11" x14ac:dyDescent="0.25">
      <c r="A48" s="3">
        <v>46086</v>
      </c>
      <c r="B48" s="5" t="s">
        <v>144</v>
      </c>
      <c r="C48" s="5" t="s">
        <v>144</v>
      </c>
      <c r="D48" s="5" t="s">
        <v>12</v>
      </c>
      <c r="E48" s="4" t="str">
        <f>"0097165342603"</f>
        <v>0097165342603</v>
      </c>
      <c r="F48" s="2" t="s">
        <v>13</v>
      </c>
      <c r="G48" s="2" t="s">
        <v>14</v>
      </c>
      <c r="H48" t="s">
        <v>15</v>
      </c>
      <c r="I48" s="1">
        <v>46086</v>
      </c>
      <c r="J48" t="s">
        <v>145</v>
      </c>
      <c r="K48" t="s">
        <v>146</v>
      </c>
    </row>
    <row r="49" spans="1:11" x14ac:dyDescent="0.25">
      <c r="A49" s="3">
        <v>46086</v>
      </c>
      <c r="B49" s="5" t="s">
        <v>147</v>
      </c>
      <c r="C49" s="5" t="s">
        <v>147</v>
      </c>
      <c r="D49" s="5" t="s">
        <v>12</v>
      </c>
      <c r="E49" s="4" t="str">
        <f>"00971522856364"</f>
        <v>00971522856364</v>
      </c>
      <c r="F49" s="2" t="s">
        <v>13</v>
      </c>
      <c r="G49" s="2" t="s">
        <v>14</v>
      </c>
      <c r="H49" t="s">
        <v>15</v>
      </c>
      <c r="I49" s="1">
        <v>46086</v>
      </c>
      <c r="J49" t="s">
        <v>148</v>
      </c>
      <c r="K49" t="s">
        <v>149</v>
      </c>
    </row>
    <row r="50" spans="1:11" x14ac:dyDescent="0.25">
      <c r="A50" s="3">
        <v>46086</v>
      </c>
      <c r="B50" s="5" t="s">
        <v>147</v>
      </c>
      <c r="C50" s="5" t="s">
        <v>147</v>
      </c>
      <c r="D50" s="5" t="s">
        <v>12</v>
      </c>
      <c r="E50" s="4" t="str">
        <f>"00971544110353"</f>
        <v>00971544110353</v>
      </c>
      <c r="F50" s="2" t="s">
        <v>13</v>
      </c>
      <c r="G50" s="2" t="s">
        <v>14</v>
      </c>
      <c r="H50" t="s">
        <v>15</v>
      </c>
      <c r="I50" s="1">
        <v>46086</v>
      </c>
      <c r="J50" t="s">
        <v>148</v>
      </c>
      <c r="K50" t="s">
        <v>150</v>
      </c>
    </row>
    <row r="51" spans="1:11" x14ac:dyDescent="0.25">
      <c r="A51" s="3">
        <v>46086</v>
      </c>
      <c r="B51" s="5" t="s">
        <v>151</v>
      </c>
      <c r="C51" s="5" t="s">
        <v>151</v>
      </c>
      <c r="D51" s="5" t="s">
        <v>12</v>
      </c>
      <c r="E51" s="4" t="str">
        <f>"00971561217085"</f>
        <v>00971561217085</v>
      </c>
      <c r="F51" s="2" t="s">
        <v>13</v>
      </c>
      <c r="G51" s="2" t="s">
        <v>14</v>
      </c>
      <c r="H51" t="s">
        <v>15</v>
      </c>
      <c r="I51" s="1">
        <v>46086</v>
      </c>
      <c r="J51" t="s">
        <v>152</v>
      </c>
      <c r="K51" t="s">
        <v>153</v>
      </c>
    </row>
    <row r="52" spans="1:11" x14ac:dyDescent="0.25">
      <c r="A52" s="3">
        <v>46086</v>
      </c>
      <c r="B52" s="5" t="s">
        <v>151</v>
      </c>
      <c r="C52" s="5" t="s">
        <v>151</v>
      </c>
      <c r="D52" s="5" t="s">
        <v>12</v>
      </c>
      <c r="E52" s="4" t="str">
        <f>"0097165520485"</f>
        <v>0097165520485</v>
      </c>
      <c r="F52" s="2" t="s">
        <v>13</v>
      </c>
      <c r="G52" s="2" t="s">
        <v>14</v>
      </c>
      <c r="H52" t="s">
        <v>15</v>
      </c>
      <c r="I52" s="1">
        <v>46086</v>
      </c>
      <c r="J52" t="s">
        <v>154</v>
      </c>
      <c r="K52" t="s">
        <v>155</v>
      </c>
    </row>
    <row r="53" spans="1:11" x14ac:dyDescent="0.25">
      <c r="A53" s="3">
        <v>46086</v>
      </c>
      <c r="B53" s="5" t="s">
        <v>156</v>
      </c>
      <c r="C53" s="5" t="s">
        <v>156</v>
      </c>
      <c r="D53" s="5" t="s">
        <v>12</v>
      </c>
      <c r="E53" s="4" t="str">
        <f>"00971556542629"</f>
        <v>00971556542629</v>
      </c>
      <c r="F53" s="2" t="s">
        <v>13</v>
      </c>
      <c r="G53" s="2" t="s">
        <v>14</v>
      </c>
      <c r="H53" t="s">
        <v>15</v>
      </c>
      <c r="I53" s="1">
        <v>46086</v>
      </c>
      <c r="J53" t="s">
        <v>157</v>
      </c>
      <c r="K53" t="s">
        <v>158</v>
      </c>
    </row>
    <row r="54" spans="1:11" x14ac:dyDescent="0.25">
      <c r="A54" s="3">
        <v>46086</v>
      </c>
      <c r="B54" s="5" t="s">
        <v>156</v>
      </c>
      <c r="C54" s="5" t="s">
        <v>156</v>
      </c>
      <c r="D54" s="5" t="s">
        <v>12</v>
      </c>
      <c r="E54" s="4" t="str">
        <f>"00971556807313"</f>
        <v>00971556807313</v>
      </c>
      <c r="F54" s="2" t="s">
        <v>13</v>
      </c>
      <c r="G54" s="2" t="s">
        <v>14</v>
      </c>
      <c r="H54" t="s">
        <v>15</v>
      </c>
      <c r="I54" s="1">
        <v>46086</v>
      </c>
      <c r="J54" t="s">
        <v>157</v>
      </c>
      <c r="K54" t="s">
        <v>159</v>
      </c>
    </row>
    <row r="55" spans="1:11" x14ac:dyDescent="0.25">
      <c r="A55" s="3">
        <v>46086</v>
      </c>
      <c r="B55" s="5" t="s">
        <v>160</v>
      </c>
      <c r="C55" s="5" t="s">
        <v>160</v>
      </c>
      <c r="D55" s="5" t="s">
        <v>12</v>
      </c>
      <c r="E55" s="4" t="str">
        <f>"00971528154590"</f>
        <v>00971528154590</v>
      </c>
      <c r="F55" s="2" t="s">
        <v>13</v>
      </c>
      <c r="G55" s="2" t="s">
        <v>14</v>
      </c>
      <c r="H55" t="s">
        <v>15</v>
      </c>
      <c r="I55" s="1">
        <v>46086</v>
      </c>
      <c r="J55" t="s">
        <v>161</v>
      </c>
      <c r="K55" t="s">
        <v>162</v>
      </c>
    </row>
    <row r="56" spans="1:11" x14ac:dyDescent="0.25">
      <c r="A56" s="3">
        <v>46086</v>
      </c>
      <c r="B56" s="5" t="s">
        <v>163</v>
      </c>
      <c r="C56" s="5" t="s">
        <v>163</v>
      </c>
      <c r="D56" s="5" t="s">
        <v>12</v>
      </c>
      <c r="E56" s="4" t="str">
        <f>"0097165235550"</f>
        <v>0097165235550</v>
      </c>
      <c r="F56" s="2" t="s">
        <v>13</v>
      </c>
      <c r="G56" s="2" t="s">
        <v>14</v>
      </c>
      <c r="H56" t="s">
        <v>15</v>
      </c>
      <c r="I56" s="1">
        <v>46086</v>
      </c>
      <c r="J56" t="s">
        <v>164</v>
      </c>
      <c r="K56" t="s">
        <v>165</v>
      </c>
    </row>
    <row r="57" spans="1:11" x14ac:dyDescent="0.25">
      <c r="A57" s="3">
        <v>46086</v>
      </c>
      <c r="B57" s="5" t="s">
        <v>166</v>
      </c>
      <c r="C57" s="5" t="s">
        <v>166</v>
      </c>
      <c r="D57" s="5" t="s">
        <v>12</v>
      </c>
      <c r="E57" s="4" t="str">
        <f>"00971555175987"</f>
        <v>00971555175987</v>
      </c>
      <c r="F57" s="2" t="s">
        <v>13</v>
      </c>
      <c r="G57" s="2" t="s">
        <v>14</v>
      </c>
      <c r="H57" t="s">
        <v>15</v>
      </c>
      <c r="I57" s="1">
        <v>46086</v>
      </c>
      <c r="J57" t="s">
        <v>167</v>
      </c>
      <c r="K57" t="s">
        <v>168</v>
      </c>
    </row>
    <row r="58" spans="1:11" x14ac:dyDescent="0.25">
      <c r="A58" s="3">
        <v>46086</v>
      </c>
      <c r="B58" s="5" t="s">
        <v>169</v>
      </c>
      <c r="C58" s="5" t="s">
        <v>169</v>
      </c>
      <c r="D58" s="5" t="s">
        <v>12</v>
      </c>
      <c r="E58" s="4" t="str">
        <f>"0097165489691"</f>
        <v>0097165489691</v>
      </c>
      <c r="F58" s="2" t="s">
        <v>13</v>
      </c>
      <c r="G58" s="2" t="s">
        <v>14</v>
      </c>
      <c r="H58" t="s">
        <v>15</v>
      </c>
      <c r="I58" s="1">
        <v>46086</v>
      </c>
      <c r="J58" t="s">
        <v>170</v>
      </c>
      <c r="K58" t="s">
        <v>171</v>
      </c>
    </row>
    <row r="59" spans="1:11" x14ac:dyDescent="0.25">
      <c r="A59" s="3">
        <v>46086</v>
      </c>
      <c r="B59" s="5" t="s">
        <v>172</v>
      </c>
      <c r="C59" s="5" t="s">
        <v>172</v>
      </c>
      <c r="D59" s="5" t="s">
        <v>12</v>
      </c>
      <c r="E59" s="4" t="str">
        <f>"00971545849773"</f>
        <v>00971545849773</v>
      </c>
      <c r="F59" s="2" t="s">
        <v>13</v>
      </c>
      <c r="G59" s="2" t="s">
        <v>14</v>
      </c>
      <c r="H59" t="s">
        <v>15</v>
      </c>
      <c r="I59" s="1">
        <v>46086</v>
      </c>
      <c r="J59" t="s">
        <v>173</v>
      </c>
      <c r="K59" t="s">
        <v>174</v>
      </c>
    </row>
    <row r="60" spans="1:11" x14ac:dyDescent="0.25">
      <c r="A60" s="3">
        <v>46086</v>
      </c>
      <c r="B60" s="5" t="s">
        <v>172</v>
      </c>
      <c r="C60" s="5" t="s">
        <v>172</v>
      </c>
      <c r="D60" s="5" t="s">
        <v>12</v>
      </c>
      <c r="E60" s="4" t="str">
        <f>"00971556323112"</f>
        <v>00971556323112</v>
      </c>
      <c r="F60" s="2" t="s">
        <v>13</v>
      </c>
      <c r="G60" s="2" t="s">
        <v>14</v>
      </c>
      <c r="H60" t="s">
        <v>15</v>
      </c>
      <c r="I60" s="1">
        <v>46086</v>
      </c>
      <c r="J60" t="s">
        <v>173</v>
      </c>
      <c r="K60" t="s">
        <v>175</v>
      </c>
    </row>
    <row r="61" spans="1:11" x14ac:dyDescent="0.25">
      <c r="A61" s="3">
        <v>46086</v>
      </c>
      <c r="B61" s="5" t="s">
        <v>172</v>
      </c>
      <c r="C61" s="5" t="s">
        <v>172</v>
      </c>
      <c r="D61" s="5" t="s">
        <v>12</v>
      </c>
      <c r="E61" s="4" t="str">
        <f>"0097165570124"</f>
        <v>0097165570124</v>
      </c>
      <c r="F61" s="2" t="s">
        <v>13</v>
      </c>
      <c r="G61" s="2" t="s">
        <v>14</v>
      </c>
      <c r="H61" t="s">
        <v>15</v>
      </c>
      <c r="I61" s="1">
        <v>46086</v>
      </c>
      <c r="J61" t="s">
        <v>176</v>
      </c>
      <c r="K61" t="s">
        <v>177</v>
      </c>
    </row>
    <row r="62" spans="1:11" x14ac:dyDescent="0.25">
      <c r="A62" s="3">
        <v>46086</v>
      </c>
      <c r="B62" s="5" t="s">
        <v>178</v>
      </c>
      <c r="C62" s="5" t="s">
        <v>178</v>
      </c>
      <c r="D62" s="5" t="s">
        <v>12</v>
      </c>
      <c r="E62" s="4" t="str">
        <f>"0097165695779"</f>
        <v>0097165695779</v>
      </c>
      <c r="F62" s="2" t="s">
        <v>13</v>
      </c>
      <c r="G62" s="2" t="s">
        <v>14</v>
      </c>
      <c r="H62" t="s">
        <v>15</v>
      </c>
      <c r="I62" s="1">
        <v>46086</v>
      </c>
      <c r="J62" t="s">
        <v>179</v>
      </c>
      <c r="K62" t="s">
        <v>180</v>
      </c>
    </row>
    <row r="63" spans="1:11" x14ac:dyDescent="0.25">
      <c r="A63" s="3">
        <v>46086</v>
      </c>
      <c r="B63" s="5" t="s">
        <v>181</v>
      </c>
      <c r="C63" s="5" t="s">
        <v>181</v>
      </c>
      <c r="D63" s="5" t="s">
        <v>12</v>
      </c>
      <c r="E63" s="4" t="str">
        <f>"0097165617393"</f>
        <v>0097165617393</v>
      </c>
      <c r="F63" s="2" t="s">
        <v>13</v>
      </c>
      <c r="G63" s="2" t="s">
        <v>14</v>
      </c>
      <c r="H63" t="s">
        <v>15</v>
      </c>
      <c r="I63" s="1">
        <v>46086</v>
      </c>
      <c r="J63" t="s">
        <v>182</v>
      </c>
      <c r="K63" t="s">
        <v>183</v>
      </c>
    </row>
    <row r="64" spans="1:11" x14ac:dyDescent="0.25">
      <c r="A64" s="3">
        <v>46086</v>
      </c>
      <c r="B64" s="5" t="s">
        <v>184</v>
      </c>
      <c r="C64" s="5" t="s">
        <v>184</v>
      </c>
      <c r="D64" s="5" t="s">
        <v>12</v>
      </c>
      <c r="E64" s="4" t="str">
        <f>"0097165424751"</f>
        <v>0097165424751</v>
      </c>
      <c r="F64" s="2" t="s">
        <v>13</v>
      </c>
      <c r="G64" s="2" t="s">
        <v>14</v>
      </c>
      <c r="H64" t="s">
        <v>15</v>
      </c>
      <c r="I64" s="1">
        <v>46086</v>
      </c>
      <c r="J64" t="s">
        <v>185</v>
      </c>
      <c r="K64" t="s">
        <v>186</v>
      </c>
    </row>
    <row r="65" spans="1:11" x14ac:dyDescent="0.25">
      <c r="A65" s="3">
        <v>46086</v>
      </c>
      <c r="B65" s="5" t="s">
        <v>187</v>
      </c>
      <c r="C65" s="5" t="s">
        <v>187</v>
      </c>
      <c r="D65" s="5" t="s">
        <v>12</v>
      </c>
      <c r="E65" s="4" t="str">
        <f>"00971508087746"</f>
        <v>00971508087746</v>
      </c>
      <c r="F65" s="2" t="s">
        <v>13</v>
      </c>
      <c r="G65" s="2" t="s">
        <v>14</v>
      </c>
      <c r="H65" t="s">
        <v>15</v>
      </c>
      <c r="I65" s="1">
        <v>46086</v>
      </c>
      <c r="J65" t="s">
        <v>188</v>
      </c>
      <c r="K65" t="s">
        <v>189</v>
      </c>
    </row>
    <row r="66" spans="1:11" x14ac:dyDescent="0.25">
      <c r="A66" s="3">
        <v>46086</v>
      </c>
      <c r="B66" s="5" t="s">
        <v>187</v>
      </c>
      <c r="C66" s="5" t="s">
        <v>187</v>
      </c>
      <c r="D66" s="5" t="s">
        <v>12</v>
      </c>
      <c r="E66" s="4" t="str">
        <f>"00971508099662"</f>
        <v>00971508099662</v>
      </c>
      <c r="F66" s="2" t="s">
        <v>13</v>
      </c>
      <c r="G66" s="2" t="s">
        <v>14</v>
      </c>
      <c r="H66" t="s">
        <v>15</v>
      </c>
      <c r="I66" s="1">
        <v>46086</v>
      </c>
      <c r="J66" t="s">
        <v>188</v>
      </c>
      <c r="K66" t="s">
        <v>190</v>
      </c>
    </row>
    <row r="67" spans="1:11" x14ac:dyDescent="0.25">
      <c r="A67" s="3">
        <v>46086</v>
      </c>
      <c r="B67" s="5" t="s">
        <v>187</v>
      </c>
      <c r="C67" s="5" t="s">
        <v>187</v>
      </c>
      <c r="D67" s="5" t="s">
        <v>12</v>
      </c>
      <c r="E67" s="4" t="str">
        <f>"0097165350351"</f>
        <v>0097165350351</v>
      </c>
      <c r="F67" s="2" t="s">
        <v>13</v>
      </c>
      <c r="G67" s="2" t="s">
        <v>14</v>
      </c>
      <c r="H67" t="s">
        <v>15</v>
      </c>
      <c r="I67" s="1">
        <v>46086</v>
      </c>
      <c r="J67" t="s">
        <v>191</v>
      </c>
      <c r="K67" t="s">
        <v>192</v>
      </c>
    </row>
    <row r="68" spans="1:11" x14ac:dyDescent="0.25">
      <c r="A68" s="3">
        <v>46086</v>
      </c>
      <c r="B68" s="5" t="s">
        <v>187</v>
      </c>
      <c r="C68" s="5" t="s">
        <v>187</v>
      </c>
      <c r="D68" s="5" t="s">
        <v>12</v>
      </c>
      <c r="E68" s="4" t="str">
        <f>"0097165533662"</f>
        <v>0097165533662</v>
      </c>
      <c r="F68" s="2" t="s">
        <v>13</v>
      </c>
      <c r="G68" s="2" t="s">
        <v>14</v>
      </c>
      <c r="H68" t="s">
        <v>15</v>
      </c>
      <c r="I68" s="1">
        <v>46086</v>
      </c>
      <c r="J68" t="s">
        <v>193</v>
      </c>
      <c r="K68" t="s">
        <v>194</v>
      </c>
    </row>
    <row r="69" spans="1:11" x14ac:dyDescent="0.25">
      <c r="A69" s="3">
        <v>46086</v>
      </c>
      <c r="B69" s="5" t="s">
        <v>195</v>
      </c>
      <c r="C69" s="5" t="s">
        <v>195</v>
      </c>
      <c r="D69" s="5" t="s">
        <v>12</v>
      </c>
      <c r="E69" s="4" t="str">
        <f>"0097165533662"</f>
        <v>0097165533662</v>
      </c>
      <c r="F69" s="2" t="s">
        <v>13</v>
      </c>
      <c r="G69" s="2" t="s">
        <v>14</v>
      </c>
      <c r="H69" t="s">
        <v>15</v>
      </c>
      <c r="I69" s="1">
        <v>46086</v>
      </c>
      <c r="J69" t="s">
        <v>196</v>
      </c>
      <c r="K69" t="s">
        <v>197</v>
      </c>
    </row>
    <row r="70" spans="1:11" x14ac:dyDescent="0.25">
      <c r="A70" s="3">
        <v>46086</v>
      </c>
      <c r="B70" s="5" t="s">
        <v>198</v>
      </c>
      <c r="C70" s="5" t="s">
        <v>198</v>
      </c>
      <c r="D70" s="5" t="s">
        <v>12</v>
      </c>
      <c r="E70" s="4" t="str">
        <f>"0097165350351"</f>
        <v>0097165350351</v>
      </c>
      <c r="F70" s="2" t="s">
        <v>13</v>
      </c>
      <c r="G70" s="2" t="s">
        <v>14</v>
      </c>
      <c r="H70" t="s">
        <v>15</v>
      </c>
      <c r="I70" s="1">
        <v>46086</v>
      </c>
      <c r="J70" t="s">
        <v>199</v>
      </c>
      <c r="K70" t="s">
        <v>200</v>
      </c>
    </row>
    <row r="71" spans="1:11" x14ac:dyDescent="0.25">
      <c r="A71" s="3">
        <v>46086</v>
      </c>
      <c r="B71" s="5" t="s">
        <v>201</v>
      </c>
      <c r="C71" s="5" t="s">
        <v>201</v>
      </c>
      <c r="D71" s="5" t="s">
        <v>12</v>
      </c>
      <c r="E71" s="4" t="str">
        <f>"00971504552808"</f>
        <v>00971504552808</v>
      </c>
      <c r="F71" s="2" t="s">
        <v>13</v>
      </c>
      <c r="G71" s="2" t="s">
        <v>14</v>
      </c>
      <c r="H71" t="s">
        <v>15</v>
      </c>
      <c r="I71" s="1">
        <v>46086</v>
      </c>
      <c r="J71" t="s">
        <v>202</v>
      </c>
      <c r="K71" t="s">
        <v>203</v>
      </c>
    </row>
    <row r="72" spans="1:11" x14ac:dyDescent="0.25">
      <c r="A72" s="3">
        <v>46086</v>
      </c>
      <c r="B72" s="5" t="s">
        <v>201</v>
      </c>
      <c r="C72" s="5" t="s">
        <v>201</v>
      </c>
      <c r="D72" s="5" t="s">
        <v>12</v>
      </c>
      <c r="E72" s="4" t="str">
        <f>"0097165220073"</f>
        <v>0097165220073</v>
      </c>
      <c r="F72" s="2" t="s">
        <v>13</v>
      </c>
      <c r="G72" s="2" t="s">
        <v>14</v>
      </c>
      <c r="H72" t="s">
        <v>15</v>
      </c>
      <c r="I72" s="1">
        <v>46086</v>
      </c>
      <c r="J72" t="s">
        <v>204</v>
      </c>
      <c r="K72" t="s">
        <v>205</v>
      </c>
    </row>
    <row r="73" spans="1:11" x14ac:dyDescent="0.25">
      <c r="A73" s="3">
        <v>46086</v>
      </c>
      <c r="B73" s="5" t="s">
        <v>206</v>
      </c>
      <c r="C73" s="5" t="s">
        <v>206</v>
      </c>
      <c r="D73" s="5" t="s">
        <v>12</v>
      </c>
      <c r="E73" s="4" t="str">
        <f>"0097165578701"</f>
        <v>0097165578701</v>
      </c>
      <c r="F73" s="2" t="s">
        <v>13</v>
      </c>
      <c r="G73" s="2" t="s">
        <v>14</v>
      </c>
      <c r="H73" t="s">
        <v>15</v>
      </c>
      <c r="I73" s="1">
        <v>46086</v>
      </c>
      <c r="J73" t="s">
        <v>207</v>
      </c>
      <c r="K73" t="s">
        <v>208</v>
      </c>
    </row>
    <row r="74" spans="1:11" x14ac:dyDescent="0.25">
      <c r="A74" s="3">
        <v>46086</v>
      </c>
      <c r="B74" s="5" t="s">
        <v>209</v>
      </c>
      <c r="C74" s="5" t="s">
        <v>209</v>
      </c>
      <c r="D74" s="5" t="s">
        <v>12</v>
      </c>
      <c r="E74" s="4" t="str">
        <f>"0097165224594"</f>
        <v>0097165224594</v>
      </c>
      <c r="F74" s="2" t="s">
        <v>13</v>
      </c>
      <c r="G74" s="2" t="s">
        <v>14</v>
      </c>
      <c r="H74" t="s">
        <v>15</v>
      </c>
      <c r="I74" s="1">
        <v>46086</v>
      </c>
      <c r="J74" t="s">
        <v>210</v>
      </c>
      <c r="K74" t="s">
        <v>211</v>
      </c>
    </row>
    <row r="75" spans="1:11" x14ac:dyDescent="0.25">
      <c r="A75" s="3">
        <v>46086</v>
      </c>
      <c r="B75" s="5" t="s">
        <v>212</v>
      </c>
      <c r="C75" s="5" t="s">
        <v>212</v>
      </c>
      <c r="D75" s="5" t="s">
        <v>12</v>
      </c>
      <c r="E75" s="4" t="str">
        <f>"00971502311874"</f>
        <v>00971502311874</v>
      </c>
      <c r="F75" s="2" t="s">
        <v>13</v>
      </c>
      <c r="G75" s="2" t="s">
        <v>14</v>
      </c>
      <c r="H75" t="s">
        <v>15</v>
      </c>
      <c r="I75" s="1">
        <v>46086</v>
      </c>
      <c r="J75" t="s">
        <v>213</v>
      </c>
      <c r="K75" t="s">
        <v>214</v>
      </c>
    </row>
    <row r="76" spans="1:11" x14ac:dyDescent="0.25">
      <c r="A76" s="3">
        <v>46086</v>
      </c>
      <c r="B76" s="5" t="s">
        <v>212</v>
      </c>
      <c r="C76" s="5" t="s">
        <v>212</v>
      </c>
      <c r="D76" s="5" t="s">
        <v>12</v>
      </c>
      <c r="E76" s="4" t="str">
        <f>"00971553425628"</f>
        <v>00971553425628</v>
      </c>
      <c r="F76" s="2" t="s">
        <v>13</v>
      </c>
      <c r="G76" s="2" t="s">
        <v>14</v>
      </c>
      <c r="H76" t="s">
        <v>15</v>
      </c>
      <c r="I76" s="1">
        <v>46086</v>
      </c>
      <c r="J76" t="s">
        <v>213</v>
      </c>
      <c r="K76" t="s">
        <v>215</v>
      </c>
    </row>
    <row r="77" spans="1:11" x14ac:dyDescent="0.25">
      <c r="A77" s="3">
        <v>46086</v>
      </c>
      <c r="B77" s="5" t="s">
        <v>212</v>
      </c>
      <c r="C77" s="5" t="s">
        <v>212</v>
      </c>
      <c r="D77" s="5" t="s">
        <v>12</v>
      </c>
      <c r="E77" s="4" t="str">
        <f>"0097165617228"</f>
        <v>0097165617228</v>
      </c>
      <c r="F77" s="2" t="s">
        <v>13</v>
      </c>
      <c r="G77" s="2" t="s">
        <v>14</v>
      </c>
      <c r="H77" t="s">
        <v>15</v>
      </c>
      <c r="I77" s="1">
        <v>46086</v>
      </c>
      <c r="J77" t="s">
        <v>216</v>
      </c>
      <c r="K77" t="s">
        <v>217</v>
      </c>
    </row>
    <row r="78" spans="1:11" x14ac:dyDescent="0.25">
      <c r="A78" s="3">
        <v>46086</v>
      </c>
      <c r="B78" s="5" t="s">
        <v>218</v>
      </c>
      <c r="C78" s="5" t="s">
        <v>218</v>
      </c>
      <c r="D78" s="5" t="s">
        <v>12</v>
      </c>
      <c r="E78" s="4" t="str">
        <f>"00971504240262"</f>
        <v>00971504240262</v>
      </c>
      <c r="F78" s="2" t="s">
        <v>13</v>
      </c>
      <c r="G78" s="2" t="s">
        <v>14</v>
      </c>
      <c r="H78" t="s">
        <v>15</v>
      </c>
      <c r="I78" s="1">
        <v>46086</v>
      </c>
      <c r="J78" t="s">
        <v>219</v>
      </c>
      <c r="K78" t="s">
        <v>220</v>
      </c>
    </row>
    <row r="79" spans="1:11" x14ac:dyDescent="0.25">
      <c r="A79" s="3">
        <v>46086</v>
      </c>
      <c r="B79" s="5" t="s">
        <v>221</v>
      </c>
      <c r="C79" s="5" t="s">
        <v>221</v>
      </c>
      <c r="D79" s="5" t="s">
        <v>12</v>
      </c>
      <c r="E79" s="4" t="str">
        <f>"00971505198462"</f>
        <v>00971505198462</v>
      </c>
      <c r="F79" s="2" t="s">
        <v>13</v>
      </c>
      <c r="G79" s="2" t="s">
        <v>14</v>
      </c>
      <c r="H79" t="s">
        <v>15</v>
      </c>
      <c r="I79" s="1">
        <v>46086</v>
      </c>
      <c r="J79" t="s">
        <v>222</v>
      </c>
      <c r="K79" t="s">
        <v>223</v>
      </c>
    </row>
    <row r="80" spans="1:11" x14ac:dyDescent="0.25">
      <c r="A80" s="3">
        <v>46086</v>
      </c>
      <c r="B80" s="5" t="s">
        <v>221</v>
      </c>
      <c r="C80" s="5" t="s">
        <v>221</v>
      </c>
      <c r="D80" s="5" t="s">
        <v>12</v>
      </c>
      <c r="E80" s="4" t="str">
        <f>"0097165579612"</f>
        <v>0097165579612</v>
      </c>
      <c r="F80" s="2" t="s">
        <v>13</v>
      </c>
      <c r="G80" s="2" t="s">
        <v>14</v>
      </c>
      <c r="H80" t="s">
        <v>15</v>
      </c>
      <c r="I80" s="1">
        <v>46086</v>
      </c>
      <c r="J80" t="s">
        <v>224</v>
      </c>
      <c r="K80" t="s">
        <v>225</v>
      </c>
    </row>
    <row r="81" spans="1:11" x14ac:dyDescent="0.25">
      <c r="A81" s="3">
        <v>46086</v>
      </c>
      <c r="B81" s="5" t="s">
        <v>226</v>
      </c>
      <c r="C81" s="5" t="s">
        <v>226</v>
      </c>
      <c r="D81" s="5" t="s">
        <v>12</v>
      </c>
      <c r="E81" s="4" t="str">
        <f>"0097165529243"</f>
        <v>0097165529243</v>
      </c>
      <c r="F81" s="2" t="s">
        <v>13</v>
      </c>
      <c r="G81" s="2" t="s">
        <v>14</v>
      </c>
      <c r="H81" t="s">
        <v>15</v>
      </c>
      <c r="I81" s="1">
        <v>46086</v>
      </c>
      <c r="J81" t="s">
        <v>227</v>
      </c>
      <c r="K81" t="s">
        <v>228</v>
      </c>
    </row>
    <row r="82" spans="1:11" x14ac:dyDescent="0.25">
      <c r="A82" s="3">
        <v>46086</v>
      </c>
      <c r="B82" s="5" t="s">
        <v>229</v>
      </c>
      <c r="C82" s="5" t="s">
        <v>229</v>
      </c>
      <c r="D82" s="5" t="s">
        <v>12</v>
      </c>
      <c r="E82" s="4" t="str">
        <f>"0097165734083"</f>
        <v>0097165734083</v>
      </c>
      <c r="F82" s="2" t="s">
        <v>13</v>
      </c>
      <c r="G82" s="2" t="s">
        <v>14</v>
      </c>
      <c r="H82" t="s">
        <v>15</v>
      </c>
      <c r="I82" s="1">
        <v>46086</v>
      </c>
      <c r="J82" t="s">
        <v>230</v>
      </c>
      <c r="K82" t="s">
        <v>231</v>
      </c>
    </row>
    <row r="83" spans="1:11" x14ac:dyDescent="0.25">
      <c r="A83" s="3">
        <v>46086</v>
      </c>
      <c r="B83" s="5" t="s">
        <v>232</v>
      </c>
      <c r="C83" s="5" t="s">
        <v>232</v>
      </c>
      <c r="D83" s="5" t="s">
        <v>12</v>
      </c>
      <c r="E83" s="4" t="str">
        <f>"00971507948028"</f>
        <v>00971507948028</v>
      </c>
      <c r="F83" s="2" t="s">
        <v>13</v>
      </c>
      <c r="G83" s="2" t="s">
        <v>14</v>
      </c>
      <c r="H83" t="s">
        <v>15</v>
      </c>
      <c r="I83" s="1">
        <v>46086</v>
      </c>
      <c r="J83" t="s">
        <v>233</v>
      </c>
      <c r="K83" t="s">
        <v>234</v>
      </c>
    </row>
    <row r="84" spans="1:11" x14ac:dyDescent="0.25">
      <c r="A84" s="3">
        <v>46086</v>
      </c>
      <c r="B84" s="5" t="s">
        <v>232</v>
      </c>
      <c r="C84" s="5" t="s">
        <v>232</v>
      </c>
      <c r="D84" s="5" t="s">
        <v>12</v>
      </c>
      <c r="E84" s="4" t="str">
        <f>"0097165610040"</f>
        <v>0097165610040</v>
      </c>
      <c r="F84" s="2" t="s">
        <v>13</v>
      </c>
      <c r="G84" s="2" t="s">
        <v>14</v>
      </c>
      <c r="H84" t="s">
        <v>15</v>
      </c>
      <c r="I84" s="1">
        <v>46086</v>
      </c>
      <c r="J84" t="s">
        <v>235</v>
      </c>
      <c r="K84" t="s">
        <v>236</v>
      </c>
    </row>
    <row r="85" spans="1:11" x14ac:dyDescent="0.25">
      <c r="A85" s="3">
        <v>46086</v>
      </c>
      <c r="B85" s="5" t="s">
        <v>237</v>
      </c>
      <c r="C85" s="5" t="s">
        <v>237</v>
      </c>
      <c r="D85" s="5" t="s">
        <v>12</v>
      </c>
      <c r="E85" s="4" t="str">
        <f>"0097165333737"</f>
        <v>0097165333737</v>
      </c>
      <c r="F85" s="2" t="s">
        <v>13</v>
      </c>
      <c r="G85" s="2" t="s">
        <v>14</v>
      </c>
      <c r="H85" t="s">
        <v>15</v>
      </c>
      <c r="I85" s="1">
        <v>46086</v>
      </c>
      <c r="J85" t="s">
        <v>238</v>
      </c>
      <c r="K85" t="s">
        <v>239</v>
      </c>
    </row>
    <row r="86" spans="1:11" x14ac:dyDescent="0.25">
      <c r="A86" s="3">
        <v>46086</v>
      </c>
      <c r="B86" s="5" t="s">
        <v>240</v>
      </c>
      <c r="C86" s="5" t="s">
        <v>240</v>
      </c>
      <c r="D86" s="5" t="s">
        <v>12</v>
      </c>
      <c r="E86" s="4" t="str">
        <f>"0097165731122"</f>
        <v>0097165731122</v>
      </c>
      <c r="F86" s="2" t="s">
        <v>13</v>
      </c>
      <c r="G86" s="2" t="s">
        <v>14</v>
      </c>
      <c r="H86" t="s">
        <v>15</v>
      </c>
      <c r="I86" s="1">
        <v>46086</v>
      </c>
      <c r="J86" t="s">
        <v>241</v>
      </c>
      <c r="K86" t="s">
        <v>242</v>
      </c>
    </row>
    <row r="87" spans="1:11" x14ac:dyDescent="0.25">
      <c r="A87" s="3">
        <v>46086</v>
      </c>
      <c r="B87" s="5" t="s">
        <v>243</v>
      </c>
      <c r="C87" s="5" t="s">
        <v>243</v>
      </c>
      <c r="D87" s="5" t="s">
        <v>12</v>
      </c>
      <c r="E87" s="4" t="str">
        <f>"0097165584311"</f>
        <v>0097165584311</v>
      </c>
      <c r="F87" s="2" t="s">
        <v>13</v>
      </c>
      <c r="G87" s="2" t="s">
        <v>14</v>
      </c>
      <c r="H87" t="s">
        <v>15</v>
      </c>
      <c r="I87" s="1">
        <v>46086</v>
      </c>
      <c r="J87" t="s">
        <v>244</v>
      </c>
      <c r="K87" t="s">
        <v>245</v>
      </c>
    </row>
    <row r="88" spans="1:11" x14ac:dyDescent="0.25">
      <c r="A88" s="3">
        <v>46086</v>
      </c>
      <c r="B88" s="5" t="s">
        <v>246</v>
      </c>
      <c r="C88" s="5" t="s">
        <v>246</v>
      </c>
      <c r="D88" s="5" t="s">
        <v>12</v>
      </c>
      <c r="E88" s="4" t="str">
        <f>"00971508073844"</f>
        <v>00971508073844</v>
      </c>
      <c r="F88" s="2" t="s">
        <v>13</v>
      </c>
      <c r="G88" s="2" t="s">
        <v>14</v>
      </c>
      <c r="H88" t="s">
        <v>15</v>
      </c>
      <c r="I88" s="1">
        <v>46086</v>
      </c>
      <c r="J88" t="s">
        <v>247</v>
      </c>
      <c r="K88" t="s">
        <v>248</v>
      </c>
    </row>
    <row r="89" spans="1:11" x14ac:dyDescent="0.25">
      <c r="A89" s="3">
        <v>46086</v>
      </c>
      <c r="B89" s="5" t="s">
        <v>249</v>
      </c>
      <c r="C89" s="5" t="s">
        <v>249</v>
      </c>
      <c r="D89" s="5" t="s">
        <v>12</v>
      </c>
      <c r="E89" s="4" t="str">
        <f>"00971525273202"</f>
        <v>00971525273202</v>
      </c>
      <c r="F89" s="2" t="s">
        <v>13</v>
      </c>
      <c r="G89" s="2" t="s">
        <v>14</v>
      </c>
      <c r="H89" t="s">
        <v>15</v>
      </c>
      <c r="I89" s="1">
        <v>46086</v>
      </c>
      <c r="J89" t="s">
        <v>250</v>
      </c>
      <c r="K89" t="s">
        <v>251</v>
      </c>
    </row>
    <row r="90" spans="1:11" x14ac:dyDescent="0.25">
      <c r="A90" s="3">
        <v>46086</v>
      </c>
      <c r="B90" s="5" t="s">
        <v>249</v>
      </c>
      <c r="C90" s="5" t="s">
        <v>249</v>
      </c>
      <c r="D90" s="5" t="s">
        <v>12</v>
      </c>
      <c r="E90" s="4" t="str">
        <f>"0097165562727"</f>
        <v>0097165562727</v>
      </c>
      <c r="F90" s="2" t="s">
        <v>13</v>
      </c>
      <c r="G90" s="2" t="s">
        <v>14</v>
      </c>
      <c r="H90" t="s">
        <v>15</v>
      </c>
      <c r="I90" s="1">
        <v>46086</v>
      </c>
      <c r="J90" t="s">
        <v>252</v>
      </c>
      <c r="K90" t="s">
        <v>253</v>
      </c>
    </row>
    <row r="91" spans="1:11" x14ac:dyDescent="0.25">
      <c r="A91" s="3">
        <v>46086</v>
      </c>
      <c r="B91" s="5" t="s">
        <v>254</v>
      </c>
      <c r="C91" s="5" t="s">
        <v>254</v>
      </c>
      <c r="D91" s="5" t="s">
        <v>12</v>
      </c>
      <c r="E91" s="4" t="str">
        <f>"0097165346800"</f>
        <v>0097165346800</v>
      </c>
      <c r="F91" s="2" t="s">
        <v>13</v>
      </c>
      <c r="G91" s="2" t="s">
        <v>14</v>
      </c>
      <c r="H91" t="s">
        <v>15</v>
      </c>
      <c r="I91" s="1">
        <v>46086</v>
      </c>
      <c r="J91" t="s">
        <v>255</v>
      </c>
      <c r="K91" t="s">
        <v>256</v>
      </c>
    </row>
    <row r="92" spans="1:11" x14ac:dyDescent="0.25">
      <c r="A92" s="3">
        <v>46086</v>
      </c>
      <c r="B92" s="5" t="s">
        <v>257</v>
      </c>
      <c r="C92" s="5" t="s">
        <v>257</v>
      </c>
      <c r="D92" s="5" t="s">
        <v>12</v>
      </c>
      <c r="E92" s="4" t="str">
        <f>"0097165431334"</f>
        <v>0097165431334</v>
      </c>
      <c r="F92" s="2" t="s">
        <v>13</v>
      </c>
      <c r="G92" s="2" t="s">
        <v>14</v>
      </c>
      <c r="H92" t="s">
        <v>15</v>
      </c>
      <c r="I92" s="1">
        <v>46086</v>
      </c>
      <c r="J92" t="s">
        <v>258</v>
      </c>
      <c r="K92" t="s">
        <v>259</v>
      </c>
    </row>
    <row r="93" spans="1:11" x14ac:dyDescent="0.25">
      <c r="A93" s="3">
        <v>46086</v>
      </c>
      <c r="B93" s="5" t="s">
        <v>260</v>
      </c>
      <c r="C93" s="5" t="s">
        <v>260</v>
      </c>
      <c r="D93" s="5" t="s">
        <v>12</v>
      </c>
      <c r="E93" s="4" t="str">
        <f>"00971555535094"</f>
        <v>00971555535094</v>
      </c>
      <c r="F93" s="2" t="s">
        <v>13</v>
      </c>
      <c r="G93" s="2" t="s">
        <v>14</v>
      </c>
      <c r="H93" t="s">
        <v>15</v>
      </c>
      <c r="I93" s="1">
        <v>46086</v>
      </c>
      <c r="J93" t="s">
        <v>261</v>
      </c>
      <c r="K93" t="s">
        <v>262</v>
      </c>
    </row>
    <row r="94" spans="1:11" x14ac:dyDescent="0.25">
      <c r="A94" s="3">
        <v>46086</v>
      </c>
      <c r="B94" s="5" t="s">
        <v>260</v>
      </c>
      <c r="C94" s="5" t="s">
        <v>260</v>
      </c>
      <c r="D94" s="5" t="s">
        <v>12</v>
      </c>
      <c r="E94" s="4" t="str">
        <f>"00971558286248"</f>
        <v>00971558286248</v>
      </c>
      <c r="F94" s="2" t="s">
        <v>13</v>
      </c>
      <c r="G94" s="2" t="s">
        <v>14</v>
      </c>
      <c r="H94" t="s">
        <v>15</v>
      </c>
      <c r="I94" s="1">
        <v>46086</v>
      </c>
      <c r="J94" t="s">
        <v>261</v>
      </c>
      <c r="K94" t="s">
        <v>263</v>
      </c>
    </row>
    <row r="95" spans="1:11" x14ac:dyDescent="0.25">
      <c r="A95" s="3">
        <v>46086</v>
      </c>
      <c r="B95" s="5" t="s">
        <v>264</v>
      </c>
      <c r="C95" s="5" t="s">
        <v>264</v>
      </c>
      <c r="D95" s="5" t="s">
        <v>12</v>
      </c>
      <c r="E95" s="4" t="str">
        <f>"0097165680111"</f>
        <v>0097165680111</v>
      </c>
      <c r="F95" s="2" t="s">
        <v>13</v>
      </c>
      <c r="G95" s="2" t="s">
        <v>14</v>
      </c>
      <c r="H95" t="s">
        <v>15</v>
      </c>
      <c r="I95" s="1">
        <v>46086</v>
      </c>
      <c r="J95" t="s">
        <v>265</v>
      </c>
      <c r="K95" t="s">
        <v>266</v>
      </c>
    </row>
    <row r="96" spans="1:11" x14ac:dyDescent="0.25">
      <c r="A96" s="3">
        <v>46086</v>
      </c>
      <c r="B96" s="5" t="s">
        <v>267</v>
      </c>
      <c r="C96" s="5" t="s">
        <v>267</v>
      </c>
      <c r="D96" s="5" t="s">
        <v>12</v>
      </c>
      <c r="E96" s="4" t="str">
        <f>"00971506262749"</f>
        <v>00971506262749</v>
      </c>
      <c r="F96" s="2" t="s">
        <v>13</v>
      </c>
      <c r="G96" s="2" t="s">
        <v>14</v>
      </c>
      <c r="H96" t="s">
        <v>15</v>
      </c>
      <c r="I96" s="1">
        <v>46086</v>
      </c>
      <c r="J96" t="s">
        <v>268</v>
      </c>
      <c r="K96" t="s">
        <v>269</v>
      </c>
    </row>
    <row r="97" spans="1:11" x14ac:dyDescent="0.25">
      <c r="A97" s="3">
        <v>46086</v>
      </c>
      <c r="B97" s="5" t="s">
        <v>267</v>
      </c>
      <c r="C97" s="5" t="s">
        <v>267</v>
      </c>
      <c r="D97" s="5" t="s">
        <v>12</v>
      </c>
      <c r="E97" s="4" t="str">
        <f>"00971581436585"</f>
        <v>00971581436585</v>
      </c>
      <c r="F97" s="2" t="s">
        <v>13</v>
      </c>
      <c r="G97" s="2" t="s">
        <v>14</v>
      </c>
      <c r="H97" t="s">
        <v>15</v>
      </c>
      <c r="I97" s="1">
        <v>46086</v>
      </c>
      <c r="J97" t="s">
        <v>268</v>
      </c>
      <c r="K97" t="s">
        <v>270</v>
      </c>
    </row>
    <row r="98" spans="1:11" x14ac:dyDescent="0.25">
      <c r="A98" s="3">
        <v>46086</v>
      </c>
      <c r="B98" s="5" t="s">
        <v>267</v>
      </c>
      <c r="C98" s="5" t="s">
        <v>267</v>
      </c>
      <c r="D98" s="5" t="s">
        <v>12</v>
      </c>
      <c r="E98" s="4" t="str">
        <f>"0097165432542"</f>
        <v>0097165432542</v>
      </c>
      <c r="F98" s="2" t="s">
        <v>13</v>
      </c>
      <c r="G98" s="2" t="s">
        <v>14</v>
      </c>
      <c r="H98" t="s">
        <v>15</v>
      </c>
      <c r="I98" s="1">
        <v>46086</v>
      </c>
      <c r="J98" t="s">
        <v>271</v>
      </c>
      <c r="K98" t="s">
        <v>272</v>
      </c>
    </row>
    <row r="99" spans="1:11" x14ac:dyDescent="0.25">
      <c r="A99" s="3">
        <v>46086</v>
      </c>
      <c r="B99" s="5" t="s">
        <v>273</v>
      </c>
      <c r="C99" s="5" t="s">
        <v>273</v>
      </c>
      <c r="D99" s="5" t="s">
        <v>12</v>
      </c>
      <c r="E99" s="4" t="str">
        <f>"00971557352549"</f>
        <v>00971557352549</v>
      </c>
      <c r="F99" s="2" t="s">
        <v>13</v>
      </c>
      <c r="G99" s="2" t="s">
        <v>14</v>
      </c>
      <c r="H99" t="s">
        <v>15</v>
      </c>
      <c r="I99" s="1">
        <v>46086</v>
      </c>
      <c r="J99" t="s">
        <v>274</v>
      </c>
      <c r="K99" t="s">
        <v>275</v>
      </c>
    </row>
    <row r="100" spans="1:11" x14ac:dyDescent="0.25">
      <c r="A100" s="3">
        <v>46086</v>
      </c>
      <c r="B100" s="5" t="s">
        <v>273</v>
      </c>
      <c r="C100" s="5" t="s">
        <v>273</v>
      </c>
      <c r="D100" s="5" t="s">
        <v>12</v>
      </c>
      <c r="E100" s="4" t="str">
        <f>"0097165335484"</f>
        <v>0097165335484</v>
      </c>
      <c r="F100" s="2" t="s">
        <v>13</v>
      </c>
      <c r="G100" s="2" t="s">
        <v>14</v>
      </c>
      <c r="H100" t="s">
        <v>15</v>
      </c>
      <c r="I100" s="1">
        <v>46086</v>
      </c>
      <c r="J100" t="s">
        <v>276</v>
      </c>
      <c r="K100" t="s">
        <v>277</v>
      </c>
    </row>
    <row r="101" spans="1:11" x14ac:dyDescent="0.25">
      <c r="A101" s="3">
        <v>46086</v>
      </c>
      <c r="B101" s="5" t="s">
        <v>278</v>
      </c>
      <c r="C101" s="5" t="s">
        <v>278</v>
      </c>
      <c r="D101" s="5" t="s">
        <v>12</v>
      </c>
      <c r="E101" s="4" t="str">
        <f>"0097165696607"</f>
        <v>0097165696607</v>
      </c>
      <c r="F101" s="2" t="s">
        <v>13</v>
      </c>
      <c r="G101" s="2" t="s">
        <v>14</v>
      </c>
      <c r="H101" t="s">
        <v>15</v>
      </c>
      <c r="I101" s="1">
        <v>46086</v>
      </c>
      <c r="J101" t="s">
        <v>279</v>
      </c>
      <c r="K101" t="s">
        <v>280</v>
      </c>
    </row>
    <row r="102" spans="1:11" x14ac:dyDescent="0.25">
      <c r="A102" s="3">
        <v>46086</v>
      </c>
      <c r="B102" s="5" t="s">
        <v>281</v>
      </c>
      <c r="C102" s="5" t="s">
        <v>281</v>
      </c>
      <c r="D102" s="5" t="s">
        <v>12</v>
      </c>
      <c r="E102" s="4" t="str">
        <f>"0097165626272"</f>
        <v>0097165626272</v>
      </c>
      <c r="F102" s="2" t="s">
        <v>13</v>
      </c>
      <c r="G102" s="2" t="s">
        <v>14</v>
      </c>
      <c r="H102" t="s">
        <v>15</v>
      </c>
      <c r="I102" s="1">
        <v>46086</v>
      </c>
      <c r="J102" t="s">
        <v>282</v>
      </c>
      <c r="K102" t="s">
        <v>283</v>
      </c>
    </row>
    <row r="103" spans="1:11" x14ac:dyDescent="0.25">
      <c r="A103" s="3">
        <v>46086</v>
      </c>
      <c r="B103" s="5" t="s">
        <v>284</v>
      </c>
      <c r="C103" s="5" t="s">
        <v>284</v>
      </c>
      <c r="D103" s="5" t="s">
        <v>12</v>
      </c>
      <c r="E103" s="4" t="str">
        <f>"0097165311201"</f>
        <v>0097165311201</v>
      </c>
      <c r="F103" s="2" t="s">
        <v>13</v>
      </c>
      <c r="G103" s="2" t="s">
        <v>14</v>
      </c>
      <c r="H103" t="s">
        <v>15</v>
      </c>
      <c r="I103" s="1">
        <v>46086</v>
      </c>
      <c r="J103" t="s">
        <v>285</v>
      </c>
      <c r="K103" t="s">
        <v>286</v>
      </c>
    </row>
    <row r="104" spans="1:11" x14ac:dyDescent="0.25">
      <c r="A104" s="3">
        <v>46086</v>
      </c>
      <c r="B104" s="5" t="s">
        <v>287</v>
      </c>
      <c r="C104" s="5" t="s">
        <v>287</v>
      </c>
      <c r="D104" s="5" t="s">
        <v>12</v>
      </c>
      <c r="E104" s="4" t="str">
        <f>"00971551290385"</f>
        <v>00971551290385</v>
      </c>
      <c r="F104" s="2" t="s">
        <v>13</v>
      </c>
      <c r="G104" s="2" t="s">
        <v>14</v>
      </c>
      <c r="H104" t="s">
        <v>15</v>
      </c>
      <c r="I104" s="1">
        <v>46086</v>
      </c>
      <c r="J104" t="s">
        <v>288</v>
      </c>
      <c r="K104" t="s">
        <v>289</v>
      </c>
    </row>
    <row r="105" spans="1:11" x14ac:dyDescent="0.25">
      <c r="A105" s="3">
        <v>46086</v>
      </c>
      <c r="B105" s="5" t="s">
        <v>290</v>
      </c>
      <c r="C105" s="5" t="s">
        <v>290</v>
      </c>
      <c r="D105" s="5" t="s">
        <v>12</v>
      </c>
      <c r="E105" s="4" t="str">
        <f>"00971528149889"</f>
        <v>00971528149889</v>
      </c>
      <c r="F105" s="2" t="s">
        <v>13</v>
      </c>
      <c r="G105" s="2" t="s">
        <v>14</v>
      </c>
      <c r="H105" t="s">
        <v>15</v>
      </c>
      <c r="I105" s="1">
        <v>46086</v>
      </c>
      <c r="J105" t="s">
        <v>291</v>
      </c>
      <c r="K105" t="s">
        <v>292</v>
      </c>
    </row>
    <row r="106" spans="1:11" x14ac:dyDescent="0.25">
      <c r="A106" s="3">
        <v>46086</v>
      </c>
      <c r="B106" s="5" t="s">
        <v>290</v>
      </c>
      <c r="C106" s="5" t="s">
        <v>290</v>
      </c>
      <c r="D106" s="5" t="s">
        <v>12</v>
      </c>
      <c r="E106" s="4" t="str">
        <f>"00971558203217"</f>
        <v>00971558203217</v>
      </c>
      <c r="F106" s="2" t="s">
        <v>13</v>
      </c>
      <c r="G106" s="2" t="s">
        <v>14</v>
      </c>
      <c r="H106" t="s">
        <v>15</v>
      </c>
      <c r="I106" s="1">
        <v>46086</v>
      </c>
      <c r="J106" t="s">
        <v>291</v>
      </c>
      <c r="K106" t="s">
        <v>293</v>
      </c>
    </row>
    <row r="107" spans="1:11" x14ac:dyDescent="0.25">
      <c r="A107" s="3">
        <v>46086</v>
      </c>
      <c r="B107" s="5" t="s">
        <v>294</v>
      </c>
      <c r="C107" s="5" t="s">
        <v>294</v>
      </c>
      <c r="D107" s="5" t="s">
        <v>12</v>
      </c>
      <c r="E107" s="4" t="str">
        <f>"00971588500802"</f>
        <v>00971588500802</v>
      </c>
      <c r="F107" s="2" t="s">
        <v>13</v>
      </c>
      <c r="G107" s="2" t="s">
        <v>14</v>
      </c>
      <c r="H107" t="s">
        <v>15</v>
      </c>
      <c r="I107" s="1">
        <v>46086</v>
      </c>
      <c r="J107" t="s">
        <v>295</v>
      </c>
      <c r="K107" t="s">
        <v>296</v>
      </c>
    </row>
    <row r="108" spans="1:11" x14ac:dyDescent="0.25">
      <c r="A108" s="3">
        <v>46086</v>
      </c>
      <c r="B108" s="5" t="s">
        <v>294</v>
      </c>
      <c r="C108" s="5" t="s">
        <v>294</v>
      </c>
      <c r="D108" s="5" t="s">
        <v>12</v>
      </c>
      <c r="E108" s="4" t="str">
        <f>"0097165424462"</f>
        <v>0097165424462</v>
      </c>
      <c r="F108" s="2" t="s">
        <v>13</v>
      </c>
      <c r="G108" s="2" t="s">
        <v>14</v>
      </c>
      <c r="H108" t="s">
        <v>15</v>
      </c>
      <c r="I108" s="1">
        <v>46086</v>
      </c>
      <c r="J108" t="s">
        <v>297</v>
      </c>
      <c r="K108" t="s">
        <v>298</v>
      </c>
    </row>
    <row r="109" spans="1:11" x14ac:dyDescent="0.25">
      <c r="A109" s="3">
        <v>46086</v>
      </c>
      <c r="B109" s="5" t="s">
        <v>299</v>
      </c>
      <c r="C109" s="5" t="s">
        <v>299</v>
      </c>
      <c r="D109" s="5" t="s">
        <v>12</v>
      </c>
      <c r="E109" s="4" t="str">
        <f>"0097165345097"</f>
        <v>0097165345097</v>
      </c>
      <c r="F109" s="2" t="s">
        <v>13</v>
      </c>
      <c r="G109" s="2" t="s">
        <v>14</v>
      </c>
      <c r="H109" t="s">
        <v>15</v>
      </c>
      <c r="I109" s="1">
        <v>46086</v>
      </c>
      <c r="J109" t="s">
        <v>300</v>
      </c>
      <c r="K109" t="s">
        <v>301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TEMP_LEADS_Sharjah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Network Master</cp:lastModifiedBy>
  <dcterms:created xsi:type="dcterms:W3CDTF">2026-03-05T23:24:46Z</dcterms:created>
  <dcterms:modified xsi:type="dcterms:W3CDTF">2026-03-05T23:24:46Z</dcterms:modified>
</cp:coreProperties>
</file>