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b7891681c32f5/Desktop/client lead/organized/"/>
    </mc:Choice>
  </mc:AlternateContent>
  <xr:revisionPtr revIDLastSave="0" documentId="8_{C2C8E127-2762-4320-AFC6-3EF501E7F67A}" xr6:coauthVersionLast="47" xr6:coauthVersionMax="47" xr10:uidLastSave="{00000000-0000-0000-0000-000000000000}"/>
  <bookViews>
    <workbookView xWindow="-108" yWindow="-108" windowWidth="23256" windowHeight="12456" xr2:uid="{08ACE187-269A-4E39-95CB-2D55A3EC1A61}"/>
  </bookViews>
  <sheets>
    <sheet name="TEMP_LEADS_Ras_Al_Khaima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</calcChain>
</file>

<file path=xl/sharedStrings.xml><?xml version="1.0" encoding="utf-8"?>
<sst xmlns="http://schemas.openxmlformats.org/spreadsheetml/2006/main" count="99" uniqueCount="48">
  <si>
    <t>date</t>
  </si>
  <si>
    <t>lead_name</t>
  </si>
  <si>
    <t>business</t>
  </si>
  <si>
    <t>area</t>
  </si>
  <si>
    <t>phone_or_link</t>
  </si>
  <si>
    <t>channel</t>
  </si>
  <si>
    <t>status</t>
  </si>
  <si>
    <t>next_action</t>
  </si>
  <si>
    <t>next_date</t>
  </si>
  <si>
    <t>notes</t>
  </si>
  <si>
    <t>lead_id</t>
  </si>
  <si>
    <t>1 Stop Auto Electrician</t>
  </si>
  <si>
    <t>Ras Al Khaimah</t>
  </si>
  <si>
    <t>WhatsApp</t>
  </si>
  <si>
    <t>NEW</t>
  </si>
  <si>
    <t>Review and send compliant outreach</t>
  </si>
  <si>
    <t>YellowPages UAE profile | landline_or_tollfree | https://www.yellowpages-uae.com/1-stop-auto-electrician-134566</t>
  </si>
  <si>
    <t>UAE0870</t>
  </si>
  <si>
    <t>505 Mobile Phones</t>
  </si>
  <si>
    <t>YellowPages UAE profile | landline_or_tollfree | https://www.yellowpages-uae.com/505-mobile-phones-134532</t>
  </si>
  <si>
    <t>UAE0871</t>
  </si>
  <si>
    <t>A &amp; G FZ LLC</t>
  </si>
  <si>
    <t>YellowPages UAE profile | landline_or_tollfree | https://www.yellowpages-uae.com/a-and-g-fz-llc-169994</t>
  </si>
  <si>
    <t>UAE0872</t>
  </si>
  <si>
    <t>A M Tailors</t>
  </si>
  <si>
    <t>YellowPages UAE profile | landline_or_tollfree | https://www.yellowpages-uae.com/a-m-tailors-138141</t>
  </si>
  <si>
    <t>UAE0873</t>
  </si>
  <si>
    <t>Abayat Al Fareed</t>
  </si>
  <si>
    <t>YellowPages UAE profile | landline_or_tollfree | https://www.yellowpages-uae.com/abayat-al-fareed-139419</t>
  </si>
  <si>
    <t>UAE0874</t>
  </si>
  <si>
    <t>Abba Fashions</t>
  </si>
  <si>
    <t>YellowPages UAE profile | landline_or_tollfree | https://www.yellowpages-uae.com/abba-fashions-137873</t>
  </si>
  <si>
    <t>UAE0875</t>
  </si>
  <si>
    <t>Abbood Steel Workshop</t>
  </si>
  <si>
    <t>YellowPages UAE profile | landline_or_tollfree | https://www.yellowpages-uae.com/abbood-steel-workshop-135410</t>
  </si>
  <si>
    <t>UAE0876</t>
  </si>
  <si>
    <t>ABC Industries LLC</t>
  </si>
  <si>
    <t>YellowPages UAE profile | landline_or_tollfree | https://www.yellowpages-uae.com/abc-industries-llc-178553</t>
  </si>
  <si>
    <t>UAE0877</t>
  </si>
  <si>
    <t>Abdul Haq Steel Workshop</t>
  </si>
  <si>
    <t>YellowPages UAE profile | landline_or_tollfree | https://www.yellowpages-uae.com/abdul-haq-steel-workshop-125985</t>
  </si>
  <si>
    <t>UAE0878</t>
  </si>
  <si>
    <t>Abdul Karim Sofa Furniture Shop</t>
  </si>
  <si>
    <t>YellowPages UAE profile | landline_or_tollfree | https://www.yellowpages-uae.com/abdul-karim-sofa-furniture-shop-139856</t>
  </si>
  <si>
    <t>UAE0879</t>
  </si>
  <si>
    <t>Abdul Nasar Stores</t>
  </si>
  <si>
    <t>YellowPages UAE profile | landline_or_tollfree | https://www.yellowpages-uae.com/abdul-nasar-stores-113531</t>
  </si>
  <si>
    <t>UAE0880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</si>
</sst>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7223F-0226-41FB-BEC5-92FABED39A2C}" name="T_ZabayenRasAlKhaimahVIP" displayName="T_ZabayenRasAlKhaimahVIP" ref="A1:K12" totalsRowShown="0" headerRowDxfId="0">
  <autoFilter ref="A1:K12" xr:uid="{77F7223F-0226-41FB-BEC5-92FABED39A2C}"/>
  <tableColumns count="11">
    <tableColumn id="1" xr3:uid="{DB414D7D-1332-434F-AFE9-9E97C8E98B81}" name="date" dataDxfId="5"/>
    <tableColumn id="2" xr3:uid="{5E2FC5C7-DFE1-4303-986E-5C8D34898256}" name="lead_name" dataDxfId="4"/>
    <tableColumn id="3" xr3:uid="{48DCCF2A-C0B5-479B-B5D0-CA71030C645C}" name="business" dataDxfId="3"/>
    <tableColumn id="4" xr3:uid="{5DA6E1D5-7128-42F0-8F11-B23D6FDCC301}" name="area" dataDxfId="1"/>
    <tableColumn id="5" xr3:uid="{CE9D99B0-FFA6-4BF3-B207-EA340055DE65}" name="phone_or_link" dataDxfId="2"/>
    <tableColumn id="6" xr3:uid="{5AFAE5BD-976C-4471-B352-419F7401D908}" name="channel" dataDxfId="7"/>
    <tableColumn id="7" xr3:uid="{3266E5C9-C576-46CB-A2DB-07C9D0329DA3}" name="status" dataDxfId="6"/>
    <tableColumn id="8" xr3:uid="{F26DD95B-9042-4229-9CD5-9D0AFF5D77D6}" name="next_action"/>
    <tableColumn id="9" xr3:uid="{0FDF178B-8655-4655-89E5-187A4065436F}" name="next_date" dataDxfId="8"/>
    <tableColumn id="10" xr3:uid="{E1E55300-E0AA-4AB8-9381-4620D8544EC9}" name="notes"/>
    <tableColumn id="11" xr3:uid="{0EB0452A-588D-43F2-AC75-DBC73DEAAAE4}" name="lead_id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577E-9581-4F8C-BCB3-11907C67C623}">
  <dimension ref="A1:K12"/>
  <sheetViews>
    <sheetView tabSelected="1" workbookViewId="0"/>
  </sheetViews>
  <sheetFormatPr defaultRowHeight="13.8" x14ac:dyDescent="0.25"/>
  <cols>
    <col min="1" max="1" width="10.09765625" style="2" bestFit="1" customWidth="1"/>
    <col min="2" max="3" width="27.5" style="5" bestFit="1" customWidth="1"/>
    <col min="4" max="4" width="13.69921875" style="5" bestFit="1" customWidth="1"/>
    <col min="5" max="5" width="17.3984375" style="2" bestFit="1" customWidth="1"/>
    <col min="6" max="6" width="11.796875" style="2" bestFit="1" customWidth="1"/>
    <col min="7" max="7" width="10.19921875" style="2" bestFit="1" customWidth="1"/>
    <col min="8" max="8" width="30.796875" bestFit="1" customWidth="1"/>
    <col min="9" max="9" width="11.59765625" bestFit="1" customWidth="1"/>
    <col min="10" max="10" width="100.59765625" bestFit="1" customWidth="1"/>
    <col min="11" max="11" width="9.19921875" bestFit="1" customWidth="1"/>
  </cols>
  <sheetData>
    <row r="1" spans="1:11" s="8" customFormat="1" ht="25.0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25">
      <c r="A2" s="3">
        <v>46086</v>
      </c>
      <c r="B2" s="5" t="s">
        <v>11</v>
      </c>
      <c r="C2" s="5" t="s">
        <v>11</v>
      </c>
      <c r="D2" s="5" t="s">
        <v>12</v>
      </c>
      <c r="E2" s="4" t="str">
        <f>"0097172223773"</f>
        <v>0097172223773</v>
      </c>
      <c r="F2" s="2" t="s">
        <v>13</v>
      </c>
      <c r="G2" s="2" t="s">
        <v>14</v>
      </c>
      <c r="H2" t="s">
        <v>15</v>
      </c>
      <c r="I2" s="1">
        <v>46086</v>
      </c>
      <c r="J2" t="s">
        <v>16</v>
      </c>
      <c r="K2" t="s">
        <v>17</v>
      </c>
    </row>
    <row r="3" spans="1:11" x14ac:dyDescent="0.25">
      <c r="A3" s="3">
        <v>46086</v>
      </c>
      <c r="B3" s="5" t="s">
        <v>18</v>
      </c>
      <c r="C3" s="5" t="s">
        <v>18</v>
      </c>
      <c r="D3" s="5" t="s">
        <v>12</v>
      </c>
      <c r="E3" s="4" t="str">
        <f>"0097172363612"</f>
        <v>0097172363612</v>
      </c>
      <c r="F3" s="2" t="s">
        <v>13</v>
      </c>
      <c r="G3" s="2" t="s">
        <v>14</v>
      </c>
      <c r="H3" t="s">
        <v>15</v>
      </c>
      <c r="I3" s="1">
        <v>46086</v>
      </c>
      <c r="J3" t="s">
        <v>19</v>
      </c>
      <c r="K3" t="s">
        <v>20</v>
      </c>
    </row>
    <row r="4" spans="1:11" x14ac:dyDescent="0.25">
      <c r="A4" s="3">
        <v>46086</v>
      </c>
      <c r="B4" s="5" t="s">
        <v>21</v>
      </c>
      <c r="C4" s="5" t="s">
        <v>21</v>
      </c>
      <c r="D4" s="5" t="s">
        <v>12</v>
      </c>
      <c r="E4" s="4" t="str">
        <f>"0097172432858"</f>
        <v>0097172432858</v>
      </c>
      <c r="F4" s="2" t="s">
        <v>13</v>
      </c>
      <c r="G4" s="2" t="s">
        <v>14</v>
      </c>
      <c r="H4" t="s">
        <v>15</v>
      </c>
      <c r="I4" s="1">
        <v>46086</v>
      </c>
      <c r="J4" t="s">
        <v>22</v>
      </c>
      <c r="K4" t="s">
        <v>23</v>
      </c>
    </row>
    <row r="5" spans="1:11" x14ac:dyDescent="0.25">
      <c r="A5" s="3">
        <v>46086</v>
      </c>
      <c r="B5" s="5" t="s">
        <v>24</v>
      </c>
      <c r="C5" s="5" t="s">
        <v>24</v>
      </c>
      <c r="D5" s="5" t="s">
        <v>12</v>
      </c>
      <c r="E5" s="4" t="str">
        <f>"0097172223534"</f>
        <v>0097172223534</v>
      </c>
      <c r="F5" s="2" t="s">
        <v>13</v>
      </c>
      <c r="G5" s="2" t="s">
        <v>14</v>
      </c>
      <c r="H5" t="s">
        <v>15</v>
      </c>
      <c r="I5" s="1">
        <v>46086</v>
      </c>
      <c r="J5" t="s">
        <v>25</v>
      </c>
      <c r="K5" t="s">
        <v>26</v>
      </c>
    </row>
    <row r="6" spans="1:11" x14ac:dyDescent="0.25">
      <c r="A6" s="3">
        <v>46086</v>
      </c>
      <c r="B6" s="5" t="s">
        <v>27</v>
      </c>
      <c r="C6" s="5" t="s">
        <v>27</v>
      </c>
      <c r="D6" s="5" t="s">
        <v>12</v>
      </c>
      <c r="E6" s="4" t="str">
        <f>"0097172335579"</f>
        <v>0097172335579</v>
      </c>
      <c r="F6" s="2" t="s">
        <v>13</v>
      </c>
      <c r="G6" s="2" t="s">
        <v>14</v>
      </c>
      <c r="H6" t="s">
        <v>15</v>
      </c>
      <c r="I6" s="1">
        <v>46086</v>
      </c>
      <c r="J6" t="s">
        <v>28</v>
      </c>
      <c r="K6" t="s">
        <v>29</v>
      </c>
    </row>
    <row r="7" spans="1:11" x14ac:dyDescent="0.25">
      <c r="A7" s="3">
        <v>46086</v>
      </c>
      <c r="B7" s="5" t="s">
        <v>30</v>
      </c>
      <c r="C7" s="5" t="s">
        <v>30</v>
      </c>
      <c r="D7" s="5" t="s">
        <v>12</v>
      </c>
      <c r="E7" s="4" t="str">
        <f>"0097172333236"</f>
        <v>0097172333236</v>
      </c>
      <c r="F7" s="2" t="s">
        <v>13</v>
      </c>
      <c r="G7" s="2" t="s">
        <v>14</v>
      </c>
      <c r="H7" t="s">
        <v>15</v>
      </c>
      <c r="I7" s="1">
        <v>46086</v>
      </c>
      <c r="J7" t="s">
        <v>31</v>
      </c>
      <c r="K7" t="s">
        <v>32</v>
      </c>
    </row>
    <row r="8" spans="1:11" x14ac:dyDescent="0.25">
      <c r="A8" s="3">
        <v>46086</v>
      </c>
      <c r="B8" s="5" t="s">
        <v>33</v>
      </c>
      <c r="C8" s="5" t="s">
        <v>33</v>
      </c>
      <c r="D8" s="5" t="s">
        <v>12</v>
      </c>
      <c r="E8" s="4" t="str">
        <f>"0097172462957"</f>
        <v>0097172462957</v>
      </c>
      <c r="F8" s="2" t="s">
        <v>13</v>
      </c>
      <c r="G8" s="2" t="s">
        <v>14</v>
      </c>
      <c r="H8" t="s">
        <v>15</v>
      </c>
      <c r="I8" s="1">
        <v>46086</v>
      </c>
      <c r="J8" t="s">
        <v>34</v>
      </c>
      <c r="K8" t="s">
        <v>35</v>
      </c>
    </row>
    <row r="9" spans="1:11" x14ac:dyDescent="0.25">
      <c r="A9" s="3">
        <v>46086</v>
      </c>
      <c r="B9" s="5" t="s">
        <v>36</v>
      </c>
      <c r="C9" s="5" t="s">
        <v>36</v>
      </c>
      <c r="D9" s="5" t="s">
        <v>12</v>
      </c>
      <c r="E9" s="4" t="str">
        <f>"0097172589175"</f>
        <v>0097172589175</v>
      </c>
      <c r="F9" s="2" t="s">
        <v>13</v>
      </c>
      <c r="G9" s="2" t="s">
        <v>14</v>
      </c>
      <c r="H9" t="s">
        <v>15</v>
      </c>
      <c r="I9" s="1">
        <v>46086</v>
      </c>
      <c r="J9" t="s">
        <v>37</v>
      </c>
      <c r="K9" t="s">
        <v>38</v>
      </c>
    </row>
    <row r="10" spans="1:11" x14ac:dyDescent="0.25">
      <c r="A10" s="3">
        <v>46086</v>
      </c>
      <c r="B10" s="5" t="s">
        <v>39</v>
      </c>
      <c r="C10" s="5" t="s">
        <v>39</v>
      </c>
      <c r="D10" s="5" t="s">
        <v>12</v>
      </c>
      <c r="E10" s="4" t="str">
        <f>"0097172662289"</f>
        <v>0097172662289</v>
      </c>
      <c r="F10" s="2" t="s">
        <v>13</v>
      </c>
      <c r="G10" s="2" t="s">
        <v>14</v>
      </c>
      <c r="H10" t="s">
        <v>15</v>
      </c>
      <c r="I10" s="1">
        <v>46086</v>
      </c>
      <c r="J10" t="s">
        <v>40</v>
      </c>
      <c r="K10" t="s">
        <v>41</v>
      </c>
    </row>
    <row r="11" spans="1:11" x14ac:dyDescent="0.25">
      <c r="A11" s="3">
        <v>46086</v>
      </c>
      <c r="B11" s="5" t="s">
        <v>42</v>
      </c>
      <c r="C11" s="5" t="s">
        <v>42</v>
      </c>
      <c r="D11" s="5" t="s">
        <v>12</v>
      </c>
      <c r="E11" s="4" t="str">
        <f>"0097172334049"</f>
        <v>0097172334049</v>
      </c>
      <c r="F11" s="2" t="s">
        <v>13</v>
      </c>
      <c r="G11" s="2" t="s">
        <v>14</v>
      </c>
      <c r="H11" t="s">
        <v>15</v>
      </c>
      <c r="I11" s="1">
        <v>46086</v>
      </c>
      <c r="J11" t="s">
        <v>43</v>
      </c>
      <c r="K11" t="s">
        <v>44</v>
      </c>
    </row>
    <row r="12" spans="1:11" x14ac:dyDescent="0.25">
      <c r="A12" s="3">
        <v>46086</v>
      </c>
      <c r="B12" s="5" t="s">
        <v>45</v>
      </c>
      <c r="C12" s="5" t="s">
        <v>45</v>
      </c>
      <c r="D12" s="5" t="s">
        <v>12</v>
      </c>
      <c r="E12" s="4" t="str">
        <f>"0097172221405"</f>
        <v>0097172221405</v>
      </c>
      <c r="F12" s="2" t="s">
        <v>13</v>
      </c>
      <c r="G12" s="2" t="s">
        <v>14</v>
      </c>
      <c r="H12" t="s">
        <v>15</v>
      </c>
      <c r="I12" s="1">
        <v>46086</v>
      </c>
      <c r="J12" t="s">
        <v>46</v>
      </c>
      <c r="K12" t="s">
        <v>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TEMP_LEADS_Ras_Al_Khaimah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Network Master</cp:lastModifiedBy>
  <dcterms:created xsi:type="dcterms:W3CDTF">2026-03-05T23:24:37Z</dcterms:created>
  <dcterms:modified xsi:type="dcterms:W3CDTF">2026-03-05T23:24:38Z</dcterms:modified>
</cp:coreProperties>
</file>